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zpost\需求單\國內\SOURCE\1150422\Source\WebApp\iBoxNew\BatchCreateSampleFile\"/>
    </mc:Choice>
  </mc:AlternateContent>
  <xr:revisionPtr revIDLastSave="0" documentId="13_ncr:1_{8152DDE4-82CB-4BC4-BB0B-F50B06F09060}" xr6:coauthVersionLast="47" xr6:coauthVersionMax="47" xr10:uidLastSave="{00000000-0000-0000-0000-000000000000}"/>
  <workbookProtection workbookAlgorithmName="SHA-512" workbookHashValue="MXYA4p7AyyCDT41N0YLWFjM/qOwgFDOgc0Hi7k3kyOzK6WHrq7dQyrjjl7fbiXlB4vhyjhYVCxM72G0uCIbhCw==" workbookSaltValue="RpfmDLSyaFnsKvvNRIm2iw==" workbookSpinCount="100000" lockStructure="1"/>
  <bookViews>
    <workbookView xWindow="-120" yWindow="-120" windowWidth="29040" windowHeight="15720" tabRatio="636" xr2:uid="{4CFCB96A-AC9C-4ECF-AA45-05BB4179027D}"/>
  </bookViews>
  <sheets>
    <sheet name="託運清單" sheetId="1" r:id="rId1"/>
    <sheet name="託運清單(整段地址)" sheetId="6" r:id="rId2"/>
    <sheet name="包裹資費說明" sheetId="4" r:id="rId3"/>
    <sheet name="version" sheetId="5" state="hidden" r:id="rId4"/>
    <sheet name="工作表2" sheetId="2" state="hidden" r:id="rId5"/>
  </sheets>
  <definedNames>
    <definedName name="_xlnm._FilterDatabase" localSheetId="0" hidden="1">託運清單!$A$4:$AB$204</definedName>
    <definedName name="_xlnm._FilterDatabase" localSheetId="1" hidden="1">'託運清單(整段地址)'!$A$4:$AB$204</definedName>
    <definedName name="內容物">OFFSET(工作表2!$A$2,,,COUNTA(工作表2!$A:$A)-1,)</definedName>
    <definedName name="內容物Mapping">OFFSET(工作表2!$A$2,,,COUNTA(工作表2!$A:$A)-1,2)</definedName>
    <definedName name="未送達處理方式">OFFSET(工作表2!$F$2,,,COUNTA(工作表2!$F:$F)-1,)</definedName>
    <definedName name="未寄達處理方式Mapping">OFFSET(工作表2!$F$2,,,COUNTA(工作表2!$F:$F)-1,2)</definedName>
    <definedName name="地址類別">OFFSET(工作表2!$J$2,,,COUNTA(工作表2!$J:$J)-1,)</definedName>
    <definedName name="地址類別Mapping">OFFSET(工作表2!$J$2,,,COUNTA(工作表2!$J:$J)-1,2)</definedName>
    <definedName name="宜蘭縣">工作表2!$U$2:$U$14</definedName>
    <definedName name="花蓮縣">工作表2!$AJ$2:$AJ$14</definedName>
    <definedName name="金門縣">工作表2!$AL$2:$AL$7</definedName>
    <definedName name="南投縣">工作表2!$AB$2:$AB$14</definedName>
    <definedName name="南海島">工作表2!$AO$2:$AO$3</definedName>
    <definedName name="屏東縣">工作表2!$AH$2:$AH$41</definedName>
    <definedName name="是否">工作表2!$C$2:$C$3</definedName>
    <definedName name="苗栗縣">工作表2!$Y$2:$Y$19</definedName>
    <definedName name="桃園市">工作表2!$X$2:$X$14</definedName>
    <definedName name="高雄市">工作表2!$AG$2:$AG$41</definedName>
    <definedName name="國別">OFFSET(工作表2!#REF!,,,COUNTA(工作表2!#REF!)-1,)</definedName>
    <definedName name="國別MAPPING">OFFSET(工作表2!#REF!,,,COUNTA(工作表2!#REF!)-1,2)</definedName>
    <definedName name="基隆市">工作表2!$S$2:$S$8</definedName>
    <definedName name="連江縣">工作表2!$AM$2:$AM$5</definedName>
    <definedName name="釣魚臺">工作表2!$AN$2</definedName>
    <definedName name="郵件種類">OFFSET(工作表2!$H$2,,,COUNTA(工作表2!$H:$H)-1,)</definedName>
    <definedName name="郵件種類MAPPING">OFFSET(工作表2!$H$2,,,COUNTA(工作表2!$H:$H)-1,2)</definedName>
    <definedName name="郵遞區號">OFFSET(工作表2!$O$2,,,COUNTA(工作表2!$O:$O)-1,2)</definedName>
    <definedName name="雲林縣">工作表2!$AE$2:$AE$21</definedName>
    <definedName name="新北市">工作表2!$T$2:$T$30</definedName>
    <definedName name="新竹市">工作表2!$V$2:$V$4</definedName>
    <definedName name="新竹縣">工作表2!$W$2:$W$15</definedName>
    <definedName name="嘉義市">工作表2!$AC$2:$AC$3</definedName>
    <definedName name="嘉義縣">工作表2!$AD$2:$AD$19</definedName>
    <definedName name="彰化縣">工作表2!$AA$2:$AA$27</definedName>
    <definedName name="臺中市">工作表2!$Z$2:$Z$30</definedName>
    <definedName name="臺北市">工作表2!$R$2:$R$13</definedName>
    <definedName name="臺東縣">工作表2!$AI$2:$AI$17</definedName>
    <definedName name="臺南市">工作表2!$AF$2:$AF$38</definedName>
    <definedName name="澎湖縣">工作表2!$AK$2:$AK$7</definedName>
    <definedName name="箱袋種類">OFFSET(工作表2!$L$2,,,COUNTA(工作表2!$L:$L)-1,)</definedName>
    <definedName name="箱袋種類Mapping">OFFSET(工作表2!$L$2,,,COUNTA(工作表2!$L:$L)-1,2)</definedName>
    <definedName name="縣市">OFFSET(工作表2!$N$2,,,COUNTA(工作表2!$N:$N)-1,)</definedName>
    <definedName name="識別證類別">OFFSET(工作表2!$D$2,,,COUNTA(工作表2!$D:$D)-1,)</definedName>
    <definedName name="識別證類別MAPPING">OFFSET(工作表2!$D$2,,,COUNTA(工作表2!$D:$D)-1,2)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1" l="1"/>
  <c r="W7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5" i="1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5" i="6"/>
  <c r="AC204" i="6"/>
  <c r="AB204" i="6"/>
  <c r="AA204" i="6"/>
  <c r="Z204" i="6"/>
  <c r="Y204" i="6"/>
  <c r="X204" i="6"/>
  <c r="W204" i="6"/>
  <c r="A204" i="6"/>
  <c r="AC203" i="6"/>
  <c r="AB203" i="6"/>
  <c r="AA203" i="6"/>
  <c r="Z203" i="6"/>
  <c r="Y203" i="6"/>
  <c r="X203" i="6"/>
  <c r="W203" i="6"/>
  <c r="A203" i="6"/>
  <c r="AC202" i="6"/>
  <c r="AB202" i="6"/>
  <c r="AA202" i="6"/>
  <c r="Z202" i="6"/>
  <c r="Y202" i="6"/>
  <c r="X202" i="6"/>
  <c r="W202" i="6"/>
  <c r="A202" i="6"/>
  <c r="AC201" i="6"/>
  <c r="AB201" i="6"/>
  <c r="AA201" i="6"/>
  <c r="Z201" i="6"/>
  <c r="Y201" i="6"/>
  <c r="X201" i="6"/>
  <c r="W201" i="6"/>
  <c r="A201" i="6"/>
  <c r="AC200" i="6"/>
  <c r="AB200" i="6"/>
  <c r="AA200" i="6"/>
  <c r="Z200" i="6"/>
  <c r="Y200" i="6"/>
  <c r="X200" i="6"/>
  <c r="W200" i="6"/>
  <c r="A200" i="6"/>
  <c r="AC199" i="6"/>
  <c r="AB199" i="6"/>
  <c r="AA199" i="6"/>
  <c r="Z199" i="6"/>
  <c r="Y199" i="6"/>
  <c r="X199" i="6"/>
  <c r="W199" i="6"/>
  <c r="A199" i="6"/>
  <c r="AC198" i="6"/>
  <c r="AB198" i="6"/>
  <c r="AA198" i="6"/>
  <c r="Z198" i="6"/>
  <c r="Y198" i="6"/>
  <c r="X198" i="6"/>
  <c r="W198" i="6"/>
  <c r="A198" i="6"/>
  <c r="AC197" i="6"/>
  <c r="AB197" i="6"/>
  <c r="AA197" i="6"/>
  <c r="Z197" i="6"/>
  <c r="Y197" i="6"/>
  <c r="X197" i="6"/>
  <c r="W197" i="6"/>
  <c r="A197" i="6"/>
  <c r="AC196" i="6"/>
  <c r="AB196" i="6"/>
  <c r="AA196" i="6"/>
  <c r="Z196" i="6"/>
  <c r="Y196" i="6"/>
  <c r="X196" i="6"/>
  <c r="W196" i="6"/>
  <c r="A196" i="6"/>
  <c r="AC195" i="6"/>
  <c r="AB195" i="6"/>
  <c r="AA195" i="6"/>
  <c r="Z195" i="6"/>
  <c r="Y195" i="6"/>
  <c r="X195" i="6"/>
  <c r="W195" i="6"/>
  <c r="A195" i="6"/>
  <c r="AC194" i="6"/>
  <c r="AB194" i="6"/>
  <c r="AA194" i="6"/>
  <c r="Z194" i="6"/>
  <c r="Y194" i="6"/>
  <c r="X194" i="6"/>
  <c r="W194" i="6"/>
  <c r="A194" i="6"/>
  <c r="AC193" i="6"/>
  <c r="AB193" i="6"/>
  <c r="AA193" i="6"/>
  <c r="Z193" i="6"/>
  <c r="Y193" i="6"/>
  <c r="X193" i="6"/>
  <c r="W193" i="6"/>
  <c r="A193" i="6"/>
  <c r="AC192" i="6"/>
  <c r="AB192" i="6"/>
  <c r="AA192" i="6"/>
  <c r="Z192" i="6"/>
  <c r="Y192" i="6"/>
  <c r="X192" i="6"/>
  <c r="W192" i="6"/>
  <c r="A192" i="6"/>
  <c r="AC191" i="6"/>
  <c r="AB191" i="6"/>
  <c r="AA191" i="6"/>
  <c r="Z191" i="6"/>
  <c r="Y191" i="6"/>
  <c r="X191" i="6"/>
  <c r="W191" i="6"/>
  <c r="A191" i="6"/>
  <c r="AC190" i="6"/>
  <c r="AB190" i="6"/>
  <c r="AA190" i="6"/>
  <c r="Z190" i="6"/>
  <c r="Y190" i="6"/>
  <c r="X190" i="6"/>
  <c r="W190" i="6"/>
  <c r="A190" i="6"/>
  <c r="AC189" i="6"/>
  <c r="AB189" i="6"/>
  <c r="AA189" i="6"/>
  <c r="Z189" i="6"/>
  <c r="Y189" i="6"/>
  <c r="X189" i="6"/>
  <c r="W189" i="6"/>
  <c r="A189" i="6"/>
  <c r="AC188" i="6"/>
  <c r="AB188" i="6"/>
  <c r="AA188" i="6"/>
  <c r="Z188" i="6"/>
  <c r="Y188" i="6"/>
  <c r="X188" i="6"/>
  <c r="W188" i="6"/>
  <c r="A188" i="6"/>
  <c r="AC187" i="6"/>
  <c r="AB187" i="6"/>
  <c r="AA187" i="6"/>
  <c r="Z187" i="6"/>
  <c r="Y187" i="6"/>
  <c r="X187" i="6"/>
  <c r="W187" i="6"/>
  <c r="A187" i="6"/>
  <c r="AC186" i="6"/>
  <c r="AB186" i="6"/>
  <c r="AA186" i="6"/>
  <c r="Z186" i="6"/>
  <c r="Y186" i="6"/>
  <c r="X186" i="6"/>
  <c r="W186" i="6"/>
  <c r="A186" i="6"/>
  <c r="AC185" i="6"/>
  <c r="AB185" i="6"/>
  <c r="AA185" i="6"/>
  <c r="Z185" i="6"/>
  <c r="Y185" i="6"/>
  <c r="X185" i="6"/>
  <c r="W185" i="6"/>
  <c r="A185" i="6"/>
  <c r="AC184" i="6"/>
  <c r="AB184" i="6"/>
  <c r="AA184" i="6"/>
  <c r="Z184" i="6"/>
  <c r="Y184" i="6"/>
  <c r="X184" i="6"/>
  <c r="W184" i="6"/>
  <c r="A184" i="6"/>
  <c r="AC183" i="6"/>
  <c r="AB183" i="6"/>
  <c r="AA183" i="6"/>
  <c r="Z183" i="6"/>
  <c r="Y183" i="6"/>
  <c r="X183" i="6"/>
  <c r="W183" i="6"/>
  <c r="A183" i="6"/>
  <c r="AC182" i="6"/>
  <c r="AB182" i="6"/>
  <c r="AA182" i="6"/>
  <c r="Z182" i="6"/>
  <c r="Y182" i="6"/>
  <c r="X182" i="6"/>
  <c r="W182" i="6"/>
  <c r="A182" i="6"/>
  <c r="AC181" i="6"/>
  <c r="AB181" i="6"/>
  <c r="AA181" i="6"/>
  <c r="Z181" i="6"/>
  <c r="Y181" i="6"/>
  <c r="X181" i="6"/>
  <c r="W181" i="6"/>
  <c r="A181" i="6"/>
  <c r="AC180" i="6"/>
  <c r="AB180" i="6"/>
  <c r="AA180" i="6"/>
  <c r="Z180" i="6"/>
  <c r="Y180" i="6"/>
  <c r="X180" i="6"/>
  <c r="W180" i="6"/>
  <c r="A180" i="6"/>
  <c r="AC179" i="6"/>
  <c r="AB179" i="6"/>
  <c r="AA179" i="6"/>
  <c r="Z179" i="6"/>
  <c r="Y179" i="6"/>
  <c r="X179" i="6"/>
  <c r="W179" i="6"/>
  <c r="A179" i="6"/>
  <c r="AC178" i="6"/>
  <c r="AB178" i="6"/>
  <c r="AA178" i="6"/>
  <c r="Z178" i="6"/>
  <c r="Y178" i="6"/>
  <c r="X178" i="6"/>
  <c r="W178" i="6"/>
  <c r="A178" i="6"/>
  <c r="AC177" i="6"/>
  <c r="AB177" i="6"/>
  <c r="AA177" i="6"/>
  <c r="Z177" i="6"/>
  <c r="Y177" i="6"/>
  <c r="X177" i="6"/>
  <c r="W177" i="6"/>
  <c r="A177" i="6"/>
  <c r="AC176" i="6"/>
  <c r="AB176" i="6"/>
  <c r="AA176" i="6"/>
  <c r="Z176" i="6"/>
  <c r="Y176" i="6"/>
  <c r="X176" i="6"/>
  <c r="W176" i="6"/>
  <c r="A176" i="6"/>
  <c r="AC175" i="6"/>
  <c r="AB175" i="6"/>
  <c r="AA175" i="6"/>
  <c r="Z175" i="6"/>
  <c r="Y175" i="6"/>
  <c r="X175" i="6"/>
  <c r="W175" i="6"/>
  <c r="A175" i="6"/>
  <c r="AC174" i="6"/>
  <c r="AB174" i="6"/>
  <c r="AA174" i="6"/>
  <c r="Z174" i="6"/>
  <c r="Y174" i="6"/>
  <c r="X174" i="6"/>
  <c r="W174" i="6"/>
  <c r="A174" i="6"/>
  <c r="AC173" i="6"/>
  <c r="AB173" i="6"/>
  <c r="AA173" i="6"/>
  <c r="Z173" i="6"/>
  <c r="Y173" i="6"/>
  <c r="X173" i="6"/>
  <c r="W173" i="6"/>
  <c r="A173" i="6"/>
  <c r="AC172" i="6"/>
  <c r="AB172" i="6"/>
  <c r="AA172" i="6"/>
  <c r="Z172" i="6"/>
  <c r="Y172" i="6"/>
  <c r="X172" i="6"/>
  <c r="W172" i="6"/>
  <c r="A172" i="6"/>
  <c r="AC171" i="6"/>
  <c r="AB171" i="6"/>
  <c r="AA171" i="6"/>
  <c r="Z171" i="6"/>
  <c r="Y171" i="6"/>
  <c r="X171" i="6"/>
  <c r="W171" i="6"/>
  <c r="A171" i="6"/>
  <c r="AC170" i="6"/>
  <c r="AB170" i="6"/>
  <c r="AA170" i="6"/>
  <c r="Z170" i="6"/>
  <c r="Y170" i="6"/>
  <c r="X170" i="6"/>
  <c r="W170" i="6"/>
  <c r="A170" i="6"/>
  <c r="AC169" i="6"/>
  <c r="AB169" i="6"/>
  <c r="AA169" i="6"/>
  <c r="Z169" i="6"/>
  <c r="Y169" i="6"/>
  <c r="X169" i="6"/>
  <c r="W169" i="6"/>
  <c r="A169" i="6"/>
  <c r="AC168" i="6"/>
  <c r="AB168" i="6"/>
  <c r="AA168" i="6"/>
  <c r="Z168" i="6"/>
  <c r="Y168" i="6"/>
  <c r="X168" i="6"/>
  <c r="W168" i="6"/>
  <c r="A168" i="6"/>
  <c r="AC167" i="6"/>
  <c r="AB167" i="6"/>
  <c r="AA167" i="6"/>
  <c r="Z167" i="6"/>
  <c r="Y167" i="6"/>
  <c r="X167" i="6"/>
  <c r="W167" i="6"/>
  <c r="A167" i="6"/>
  <c r="AC166" i="6"/>
  <c r="AB166" i="6"/>
  <c r="AA166" i="6"/>
  <c r="Z166" i="6"/>
  <c r="Y166" i="6"/>
  <c r="X166" i="6"/>
  <c r="W166" i="6"/>
  <c r="A166" i="6"/>
  <c r="AC165" i="6"/>
  <c r="AB165" i="6"/>
  <c r="AA165" i="6"/>
  <c r="Z165" i="6"/>
  <c r="Y165" i="6"/>
  <c r="X165" i="6"/>
  <c r="W165" i="6"/>
  <c r="A165" i="6"/>
  <c r="AC164" i="6"/>
  <c r="AB164" i="6"/>
  <c r="AA164" i="6"/>
  <c r="Z164" i="6"/>
  <c r="Y164" i="6"/>
  <c r="X164" i="6"/>
  <c r="W164" i="6"/>
  <c r="A164" i="6"/>
  <c r="AC163" i="6"/>
  <c r="AB163" i="6"/>
  <c r="AA163" i="6"/>
  <c r="Z163" i="6"/>
  <c r="Y163" i="6"/>
  <c r="X163" i="6"/>
  <c r="W163" i="6"/>
  <c r="A163" i="6"/>
  <c r="AC162" i="6"/>
  <c r="AB162" i="6"/>
  <c r="AA162" i="6"/>
  <c r="Z162" i="6"/>
  <c r="Y162" i="6"/>
  <c r="X162" i="6"/>
  <c r="W162" i="6"/>
  <c r="A162" i="6"/>
  <c r="AC161" i="6"/>
  <c r="AB161" i="6"/>
  <c r="AA161" i="6"/>
  <c r="Z161" i="6"/>
  <c r="Y161" i="6"/>
  <c r="X161" i="6"/>
  <c r="W161" i="6"/>
  <c r="A161" i="6"/>
  <c r="AC160" i="6"/>
  <c r="AB160" i="6"/>
  <c r="AA160" i="6"/>
  <c r="Z160" i="6"/>
  <c r="Y160" i="6"/>
  <c r="X160" i="6"/>
  <c r="W160" i="6"/>
  <c r="A160" i="6"/>
  <c r="AC159" i="6"/>
  <c r="AB159" i="6"/>
  <c r="AA159" i="6"/>
  <c r="Z159" i="6"/>
  <c r="Y159" i="6"/>
  <c r="X159" i="6"/>
  <c r="W159" i="6"/>
  <c r="A159" i="6"/>
  <c r="AC158" i="6"/>
  <c r="AB158" i="6"/>
  <c r="AA158" i="6"/>
  <c r="Z158" i="6"/>
  <c r="Y158" i="6"/>
  <c r="X158" i="6"/>
  <c r="W158" i="6"/>
  <c r="A158" i="6"/>
  <c r="AC157" i="6"/>
  <c r="AB157" i="6"/>
  <c r="AA157" i="6"/>
  <c r="Z157" i="6"/>
  <c r="Y157" i="6"/>
  <c r="X157" i="6"/>
  <c r="W157" i="6"/>
  <c r="A157" i="6"/>
  <c r="AC156" i="6"/>
  <c r="AB156" i="6"/>
  <c r="AA156" i="6"/>
  <c r="Z156" i="6"/>
  <c r="Y156" i="6"/>
  <c r="X156" i="6"/>
  <c r="W156" i="6"/>
  <c r="A156" i="6"/>
  <c r="AC155" i="6"/>
  <c r="AB155" i="6"/>
  <c r="AA155" i="6"/>
  <c r="Z155" i="6"/>
  <c r="Y155" i="6"/>
  <c r="X155" i="6"/>
  <c r="W155" i="6"/>
  <c r="A155" i="6"/>
  <c r="AC154" i="6"/>
  <c r="AB154" i="6"/>
  <c r="AA154" i="6"/>
  <c r="Z154" i="6"/>
  <c r="Y154" i="6"/>
  <c r="X154" i="6"/>
  <c r="W154" i="6"/>
  <c r="A154" i="6"/>
  <c r="AC153" i="6"/>
  <c r="AB153" i="6"/>
  <c r="AA153" i="6"/>
  <c r="Z153" i="6"/>
  <c r="Y153" i="6"/>
  <c r="X153" i="6"/>
  <c r="W153" i="6"/>
  <c r="A153" i="6"/>
  <c r="AC152" i="6"/>
  <c r="AB152" i="6"/>
  <c r="AA152" i="6"/>
  <c r="Z152" i="6"/>
  <c r="Y152" i="6"/>
  <c r="X152" i="6"/>
  <c r="W152" i="6"/>
  <c r="A152" i="6"/>
  <c r="AC151" i="6"/>
  <c r="AB151" i="6"/>
  <c r="AA151" i="6"/>
  <c r="Z151" i="6"/>
  <c r="Y151" i="6"/>
  <c r="X151" i="6"/>
  <c r="W151" i="6"/>
  <c r="A151" i="6"/>
  <c r="AC150" i="6"/>
  <c r="AB150" i="6"/>
  <c r="AA150" i="6"/>
  <c r="Z150" i="6"/>
  <c r="Y150" i="6"/>
  <c r="X150" i="6"/>
  <c r="W150" i="6"/>
  <c r="A150" i="6"/>
  <c r="AC149" i="6"/>
  <c r="AB149" i="6"/>
  <c r="AA149" i="6"/>
  <c r="Z149" i="6"/>
  <c r="Y149" i="6"/>
  <c r="X149" i="6"/>
  <c r="W149" i="6"/>
  <c r="A149" i="6"/>
  <c r="AC148" i="6"/>
  <c r="AB148" i="6"/>
  <c r="AA148" i="6"/>
  <c r="Z148" i="6"/>
  <c r="Y148" i="6"/>
  <c r="X148" i="6"/>
  <c r="W148" i="6"/>
  <c r="A148" i="6"/>
  <c r="AC147" i="6"/>
  <c r="AB147" i="6"/>
  <c r="AA147" i="6"/>
  <c r="Z147" i="6"/>
  <c r="Y147" i="6"/>
  <c r="X147" i="6"/>
  <c r="W147" i="6"/>
  <c r="A147" i="6"/>
  <c r="AC146" i="6"/>
  <c r="AB146" i="6"/>
  <c r="AA146" i="6"/>
  <c r="Z146" i="6"/>
  <c r="Y146" i="6"/>
  <c r="X146" i="6"/>
  <c r="W146" i="6"/>
  <c r="A146" i="6"/>
  <c r="AC145" i="6"/>
  <c r="AB145" i="6"/>
  <c r="AA145" i="6"/>
  <c r="Z145" i="6"/>
  <c r="Y145" i="6"/>
  <c r="X145" i="6"/>
  <c r="W145" i="6"/>
  <c r="A145" i="6"/>
  <c r="AC144" i="6"/>
  <c r="AB144" i="6"/>
  <c r="AA144" i="6"/>
  <c r="Z144" i="6"/>
  <c r="Y144" i="6"/>
  <c r="X144" i="6"/>
  <c r="W144" i="6"/>
  <c r="A144" i="6"/>
  <c r="AC143" i="6"/>
  <c r="AB143" i="6"/>
  <c r="AA143" i="6"/>
  <c r="Z143" i="6"/>
  <c r="Y143" i="6"/>
  <c r="X143" i="6"/>
  <c r="W143" i="6"/>
  <c r="A143" i="6"/>
  <c r="AC142" i="6"/>
  <c r="AB142" i="6"/>
  <c r="AA142" i="6"/>
  <c r="Z142" i="6"/>
  <c r="Y142" i="6"/>
  <c r="X142" i="6"/>
  <c r="W142" i="6"/>
  <c r="A142" i="6"/>
  <c r="AC141" i="6"/>
  <c r="AB141" i="6"/>
  <c r="AA141" i="6"/>
  <c r="Z141" i="6"/>
  <c r="Y141" i="6"/>
  <c r="X141" i="6"/>
  <c r="W141" i="6"/>
  <c r="A141" i="6"/>
  <c r="AC140" i="6"/>
  <c r="AB140" i="6"/>
  <c r="AA140" i="6"/>
  <c r="Z140" i="6"/>
  <c r="Y140" i="6"/>
  <c r="X140" i="6"/>
  <c r="W140" i="6"/>
  <c r="A140" i="6"/>
  <c r="AC139" i="6"/>
  <c r="AB139" i="6"/>
  <c r="AA139" i="6"/>
  <c r="Z139" i="6"/>
  <c r="Y139" i="6"/>
  <c r="X139" i="6"/>
  <c r="W139" i="6"/>
  <c r="A139" i="6"/>
  <c r="AC138" i="6"/>
  <c r="AB138" i="6"/>
  <c r="AA138" i="6"/>
  <c r="Z138" i="6"/>
  <c r="Y138" i="6"/>
  <c r="X138" i="6"/>
  <c r="W138" i="6"/>
  <c r="A138" i="6"/>
  <c r="AC137" i="6"/>
  <c r="AB137" i="6"/>
  <c r="AA137" i="6"/>
  <c r="Z137" i="6"/>
  <c r="Y137" i="6"/>
  <c r="X137" i="6"/>
  <c r="W137" i="6"/>
  <c r="A137" i="6"/>
  <c r="AC136" i="6"/>
  <c r="AB136" i="6"/>
  <c r="AA136" i="6"/>
  <c r="Z136" i="6"/>
  <c r="Y136" i="6"/>
  <c r="X136" i="6"/>
  <c r="W136" i="6"/>
  <c r="A136" i="6"/>
  <c r="AC135" i="6"/>
  <c r="AB135" i="6"/>
  <c r="AA135" i="6"/>
  <c r="Z135" i="6"/>
  <c r="Y135" i="6"/>
  <c r="X135" i="6"/>
  <c r="W135" i="6"/>
  <c r="A135" i="6"/>
  <c r="AC134" i="6"/>
  <c r="AB134" i="6"/>
  <c r="AA134" i="6"/>
  <c r="Z134" i="6"/>
  <c r="Y134" i="6"/>
  <c r="X134" i="6"/>
  <c r="W134" i="6"/>
  <c r="A134" i="6"/>
  <c r="AC133" i="6"/>
  <c r="AB133" i="6"/>
  <c r="AA133" i="6"/>
  <c r="Z133" i="6"/>
  <c r="Y133" i="6"/>
  <c r="X133" i="6"/>
  <c r="W133" i="6"/>
  <c r="A133" i="6"/>
  <c r="AC132" i="6"/>
  <c r="AB132" i="6"/>
  <c r="AA132" i="6"/>
  <c r="Z132" i="6"/>
  <c r="Y132" i="6"/>
  <c r="X132" i="6"/>
  <c r="W132" i="6"/>
  <c r="A132" i="6"/>
  <c r="AC131" i="6"/>
  <c r="AB131" i="6"/>
  <c r="AA131" i="6"/>
  <c r="Z131" i="6"/>
  <c r="Y131" i="6"/>
  <c r="X131" i="6"/>
  <c r="W131" i="6"/>
  <c r="A131" i="6"/>
  <c r="AC130" i="6"/>
  <c r="AB130" i="6"/>
  <c r="AA130" i="6"/>
  <c r="Z130" i="6"/>
  <c r="Y130" i="6"/>
  <c r="X130" i="6"/>
  <c r="W130" i="6"/>
  <c r="A130" i="6"/>
  <c r="AC129" i="6"/>
  <c r="AB129" i="6"/>
  <c r="AA129" i="6"/>
  <c r="Z129" i="6"/>
  <c r="Y129" i="6"/>
  <c r="X129" i="6"/>
  <c r="W129" i="6"/>
  <c r="A129" i="6"/>
  <c r="AC128" i="6"/>
  <c r="AB128" i="6"/>
  <c r="AA128" i="6"/>
  <c r="Z128" i="6"/>
  <c r="Y128" i="6"/>
  <c r="X128" i="6"/>
  <c r="W128" i="6"/>
  <c r="A128" i="6"/>
  <c r="AC127" i="6"/>
  <c r="AB127" i="6"/>
  <c r="AA127" i="6"/>
  <c r="Z127" i="6"/>
  <c r="Y127" i="6"/>
  <c r="X127" i="6"/>
  <c r="W127" i="6"/>
  <c r="A127" i="6"/>
  <c r="AC126" i="6"/>
  <c r="AB126" i="6"/>
  <c r="AA126" i="6"/>
  <c r="Z126" i="6"/>
  <c r="Y126" i="6"/>
  <c r="X126" i="6"/>
  <c r="W126" i="6"/>
  <c r="A126" i="6"/>
  <c r="AC125" i="6"/>
  <c r="AB125" i="6"/>
  <c r="AA125" i="6"/>
  <c r="Z125" i="6"/>
  <c r="Y125" i="6"/>
  <c r="X125" i="6"/>
  <c r="W125" i="6"/>
  <c r="A125" i="6"/>
  <c r="AC124" i="6"/>
  <c r="AB124" i="6"/>
  <c r="AA124" i="6"/>
  <c r="Z124" i="6"/>
  <c r="Y124" i="6"/>
  <c r="X124" i="6"/>
  <c r="W124" i="6"/>
  <c r="A124" i="6"/>
  <c r="AC123" i="6"/>
  <c r="AB123" i="6"/>
  <c r="AA123" i="6"/>
  <c r="Z123" i="6"/>
  <c r="Y123" i="6"/>
  <c r="X123" i="6"/>
  <c r="W123" i="6"/>
  <c r="A123" i="6"/>
  <c r="AC122" i="6"/>
  <c r="AB122" i="6"/>
  <c r="AA122" i="6"/>
  <c r="Z122" i="6"/>
  <c r="Y122" i="6"/>
  <c r="X122" i="6"/>
  <c r="W122" i="6"/>
  <c r="A122" i="6"/>
  <c r="AC121" i="6"/>
  <c r="AB121" i="6"/>
  <c r="AA121" i="6"/>
  <c r="Z121" i="6"/>
  <c r="Y121" i="6"/>
  <c r="X121" i="6"/>
  <c r="W121" i="6"/>
  <c r="A121" i="6"/>
  <c r="AC120" i="6"/>
  <c r="AB120" i="6"/>
  <c r="AA120" i="6"/>
  <c r="Z120" i="6"/>
  <c r="Y120" i="6"/>
  <c r="X120" i="6"/>
  <c r="W120" i="6"/>
  <c r="A120" i="6"/>
  <c r="AC119" i="6"/>
  <c r="AB119" i="6"/>
  <c r="AA119" i="6"/>
  <c r="Z119" i="6"/>
  <c r="Y119" i="6"/>
  <c r="X119" i="6"/>
  <c r="W119" i="6"/>
  <c r="A119" i="6"/>
  <c r="AC118" i="6"/>
  <c r="AB118" i="6"/>
  <c r="AA118" i="6"/>
  <c r="Z118" i="6"/>
  <c r="Y118" i="6"/>
  <c r="X118" i="6"/>
  <c r="W118" i="6"/>
  <c r="A118" i="6"/>
  <c r="AC117" i="6"/>
  <c r="AB117" i="6"/>
  <c r="AA117" i="6"/>
  <c r="Z117" i="6"/>
  <c r="Y117" i="6"/>
  <c r="X117" i="6"/>
  <c r="W117" i="6"/>
  <c r="A117" i="6"/>
  <c r="AC116" i="6"/>
  <c r="AB116" i="6"/>
  <c r="AA116" i="6"/>
  <c r="Z116" i="6"/>
  <c r="Y116" i="6"/>
  <c r="X116" i="6"/>
  <c r="W116" i="6"/>
  <c r="A116" i="6"/>
  <c r="AC115" i="6"/>
  <c r="AB115" i="6"/>
  <c r="AA115" i="6"/>
  <c r="Z115" i="6"/>
  <c r="Y115" i="6"/>
  <c r="X115" i="6"/>
  <c r="W115" i="6"/>
  <c r="A115" i="6"/>
  <c r="AC114" i="6"/>
  <c r="AB114" i="6"/>
  <c r="AA114" i="6"/>
  <c r="Z114" i="6"/>
  <c r="Y114" i="6"/>
  <c r="X114" i="6"/>
  <c r="W114" i="6"/>
  <c r="A114" i="6"/>
  <c r="AC113" i="6"/>
  <c r="AB113" i="6"/>
  <c r="AA113" i="6"/>
  <c r="Z113" i="6"/>
  <c r="Y113" i="6"/>
  <c r="X113" i="6"/>
  <c r="W113" i="6"/>
  <c r="A113" i="6"/>
  <c r="AC112" i="6"/>
  <c r="AB112" i="6"/>
  <c r="AA112" i="6"/>
  <c r="Z112" i="6"/>
  <c r="Y112" i="6"/>
  <c r="X112" i="6"/>
  <c r="W112" i="6"/>
  <c r="A112" i="6"/>
  <c r="AC111" i="6"/>
  <c r="AB111" i="6"/>
  <c r="AA111" i="6"/>
  <c r="Z111" i="6"/>
  <c r="Y111" i="6"/>
  <c r="X111" i="6"/>
  <c r="W111" i="6"/>
  <c r="A111" i="6"/>
  <c r="AC110" i="6"/>
  <c r="AB110" i="6"/>
  <c r="AA110" i="6"/>
  <c r="Z110" i="6"/>
  <c r="Y110" i="6"/>
  <c r="X110" i="6"/>
  <c r="W110" i="6"/>
  <c r="A110" i="6"/>
  <c r="AC109" i="6"/>
  <c r="AB109" i="6"/>
  <c r="AA109" i="6"/>
  <c r="Z109" i="6"/>
  <c r="Y109" i="6"/>
  <c r="X109" i="6"/>
  <c r="W109" i="6"/>
  <c r="A109" i="6"/>
  <c r="AC108" i="6"/>
  <c r="AB108" i="6"/>
  <c r="AA108" i="6"/>
  <c r="Z108" i="6"/>
  <c r="Y108" i="6"/>
  <c r="X108" i="6"/>
  <c r="W108" i="6"/>
  <c r="A108" i="6"/>
  <c r="AC107" i="6"/>
  <c r="AB107" i="6"/>
  <c r="AA107" i="6"/>
  <c r="Z107" i="6"/>
  <c r="Y107" i="6"/>
  <c r="X107" i="6"/>
  <c r="W107" i="6"/>
  <c r="A107" i="6"/>
  <c r="AC106" i="6"/>
  <c r="AB106" i="6"/>
  <c r="AA106" i="6"/>
  <c r="Z106" i="6"/>
  <c r="Y106" i="6"/>
  <c r="X106" i="6"/>
  <c r="W106" i="6"/>
  <c r="A106" i="6"/>
  <c r="AC105" i="6"/>
  <c r="AB105" i="6"/>
  <c r="AA105" i="6"/>
  <c r="Z105" i="6"/>
  <c r="Y105" i="6"/>
  <c r="X105" i="6"/>
  <c r="W105" i="6"/>
  <c r="A105" i="6"/>
  <c r="AC104" i="6"/>
  <c r="AB104" i="6"/>
  <c r="AA104" i="6"/>
  <c r="Z104" i="6"/>
  <c r="Y104" i="6"/>
  <c r="X104" i="6"/>
  <c r="W104" i="6"/>
  <c r="A104" i="6"/>
  <c r="AC103" i="6"/>
  <c r="AB103" i="6"/>
  <c r="AA103" i="6"/>
  <c r="Z103" i="6"/>
  <c r="Y103" i="6"/>
  <c r="X103" i="6"/>
  <c r="W103" i="6"/>
  <c r="A103" i="6"/>
  <c r="AC102" i="6"/>
  <c r="AB102" i="6"/>
  <c r="AA102" i="6"/>
  <c r="Z102" i="6"/>
  <c r="Y102" i="6"/>
  <c r="X102" i="6"/>
  <c r="W102" i="6"/>
  <c r="A102" i="6"/>
  <c r="AC101" i="6"/>
  <c r="AB101" i="6"/>
  <c r="AA101" i="6"/>
  <c r="Z101" i="6"/>
  <c r="Y101" i="6"/>
  <c r="X101" i="6"/>
  <c r="W101" i="6"/>
  <c r="A101" i="6"/>
  <c r="AC100" i="6"/>
  <c r="AB100" i="6"/>
  <c r="AA100" i="6"/>
  <c r="Z100" i="6"/>
  <c r="Y100" i="6"/>
  <c r="X100" i="6"/>
  <c r="W100" i="6"/>
  <c r="A100" i="6"/>
  <c r="AC99" i="6"/>
  <c r="AB99" i="6"/>
  <c r="AA99" i="6"/>
  <c r="Z99" i="6"/>
  <c r="Y99" i="6"/>
  <c r="X99" i="6"/>
  <c r="W99" i="6"/>
  <c r="A99" i="6"/>
  <c r="AC98" i="6"/>
  <c r="AB98" i="6"/>
  <c r="AA98" i="6"/>
  <c r="Z98" i="6"/>
  <c r="Y98" i="6"/>
  <c r="X98" i="6"/>
  <c r="W98" i="6"/>
  <c r="A98" i="6"/>
  <c r="AC97" i="6"/>
  <c r="AB97" i="6"/>
  <c r="AA97" i="6"/>
  <c r="Z97" i="6"/>
  <c r="Y97" i="6"/>
  <c r="X97" i="6"/>
  <c r="W97" i="6"/>
  <c r="A97" i="6"/>
  <c r="AC96" i="6"/>
  <c r="AB96" i="6"/>
  <c r="AA96" i="6"/>
  <c r="Z96" i="6"/>
  <c r="Y96" i="6"/>
  <c r="X96" i="6"/>
  <c r="W96" i="6"/>
  <c r="A96" i="6"/>
  <c r="AC95" i="6"/>
  <c r="AB95" i="6"/>
  <c r="AA95" i="6"/>
  <c r="Z95" i="6"/>
  <c r="Y95" i="6"/>
  <c r="X95" i="6"/>
  <c r="W95" i="6"/>
  <c r="A95" i="6"/>
  <c r="AC94" i="6"/>
  <c r="AB94" i="6"/>
  <c r="AA94" i="6"/>
  <c r="Z94" i="6"/>
  <c r="Y94" i="6"/>
  <c r="X94" i="6"/>
  <c r="W94" i="6"/>
  <c r="A94" i="6"/>
  <c r="AC93" i="6"/>
  <c r="AB93" i="6"/>
  <c r="AA93" i="6"/>
  <c r="Z93" i="6"/>
  <c r="Y93" i="6"/>
  <c r="X93" i="6"/>
  <c r="W93" i="6"/>
  <c r="A93" i="6"/>
  <c r="AC92" i="6"/>
  <c r="AB92" i="6"/>
  <c r="AA92" i="6"/>
  <c r="Z92" i="6"/>
  <c r="Y92" i="6"/>
  <c r="X92" i="6"/>
  <c r="W92" i="6"/>
  <c r="A92" i="6"/>
  <c r="AC91" i="6"/>
  <c r="AB91" i="6"/>
  <c r="AA91" i="6"/>
  <c r="Z91" i="6"/>
  <c r="Y91" i="6"/>
  <c r="X91" i="6"/>
  <c r="W91" i="6"/>
  <c r="A91" i="6"/>
  <c r="AC90" i="6"/>
  <c r="AB90" i="6"/>
  <c r="AA90" i="6"/>
  <c r="Z90" i="6"/>
  <c r="Y90" i="6"/>
  <c r="X90" i="6"/>
  <c r="W90" i="6"/>
  <c r="A90" i="6"/>
  <c r="AC89" i="6"/>
  <c r="AB89" i="6"/>
  <c r="AA89" i="6"/>
  <c r="Z89" i="6"/>
  <c r="Y89" i="6"/>
  <c r="X89" i="6"/>
  <c r="W89" i="6"/>
  <c r="A89" i="6"/>
  <c r="AC88" i="6"/>
  <c r="AB88" i="6"/>
  <c r="AA88" i="6"/>
  <c r="Z88" i="6"/>
  <c r="Y88" i="6"/>
  <c r="X88" i="6"/>
  <c r="W88" i="6"/>
  <c r="A88" i="6"/>
  <c r="AC87" i="6"/>
  <c r="AB87" i="6"/>
  <c r="AA87" i="6"/>
  <c r="Z87" i="6"/>
  <c r="Y87" i="6"/>
  <c r="X87" i="6"/>
  <c r="W87" i="6"/>
  <c r="A87" i="6"/>
  <c r="AC86" i="6"/>
  <c r="AB86" i="6"/>
  <c r="AA86" i="6"/>
  <c r="Z86" i="6"/>
  <c r="Y86" i="6"/>
  <c r="X86" i="6"/>
  <c r="W86" i="6"/>
  <c r="A86" i="6"/>
  <c r="AC85" i="6"/>
  <c r="AB85" i="6"/>
  <c r="AA85" i="6"/>
  <c r="Z85" i="6"/>
  <c r="Y85" i="6"/>
  <c r="X85" i="6"/>
  <c r="W85" i="6"/>
  <c r="A85" i="6"/>
  <c r="AC84" i="6"/>
  <c r="AB84" i="6"/>
  <c r="AA84" i="6"/>
  <c r="Z84" i="6"/>
  <c r="Y84" i="6"/>
  <c r="X84" i="6"/>
  <c r="W84" i="6"/>
  <c r="A84" i="6"/>
  <c r="AC83" i="6"/>
  <c r="AB83" i="6"/>
  <c r="AA83" i="6"/>
  <c r="Z83" i="6"/>
  <c r="Y83" i="6"/>
  <c r="X83" i="6"/>
  <c r="W83" i="6"/>
  <c r="A83" i="6"/>
  <c r="AC82" i="6"/>
  <c r="AB82" i="6"/>
  <c r="AA82" i="6"/>
  <c r="Z82" i="6"/>
  <c r="Y82" i="6"/>
  <c r="X82" i="6"/>
  <c r="W82" i="6"/>
  <c r="A82" i="6"/>
  <c r="AC81" i="6"/>
  <c r="AB81" i="6"/>
  <c r="AA81" i="6"/>
  <c r="Z81" i="6"/>
  <c r="Y81" i="6"/>
  <c r="X81" i="6"/>
  <c r="W81" i="6"/>
  <c r="A81" i="6"/>
  <c r="AC80" i="6"/>
  <c r="AB80" i="6"/>
  <c r="AA80" i="6"/>
  <c r="Z80" i="6"/>
  <c r="Y80" i="6"/>
  <c r="X80" i="6"/>
  <c r="W80" i="6"/>
  <c r="A80" i="6"/>
  <c r="AC79" i="6"/>
  <c r="AB79" i="6"/>
  <c r="AA79" i="6"/>
  <c r="Z79" i="6"/>
  <c r="Y79" i="6"/>
  <c r="X79" i="6"/>
  <c r="W79" i="6"/>
  <c r="A79" i="6"/>
  <c r="AC78" i="6"/>
  <c r="AB78" i="6"/>
  <c r="AA78" i="6"/>
  <c r="Z78" i="6"/>
  <c r="Y78" i="6"/>
  <c r="X78" i="6"/>
  <c r="W78" i="6"/>
  <c r="A78" i="6"/>
  <c r="AC77" i="6"/>
  <c r="AB77" i="6"/>
  <c r="AA77" i="6"/>
  <c r="Z77" i="6"/>
  <c r="Y77" i="6"/>
  <c r="X77" i="6"/>
  <c r="W77" i="6"/>
  <c r="A77" i="6"/>
  <c r="AC76" i="6"/>
  <c r="AB76" i="6"/>
  <c r="AA76" i="6"/>
  <c r="Z76" i="6"/>
  <c r="Y76" i="6"/>
  <c r="X76" i="6"/>
  <c r="W76" i="6"/>
  <c r="A76" i="6"/>
  <c r="AC75" i="6"/>
  <c r="AB75" i="6"/>
  <c r="AA75" i="6"/>
  <c r="Z75" i="6"/>
  <c r="Y75" i="6"/>
  <c r="X75" i="6"/>
  <c r="W75" i="6"/>
  <c r="A75" i="6"/>
  <c r="AC74" i="6"/>
  <c r="AB74" i="6"/>
  <c r="AA74" i="6"/>
  <c r="Z74" i="6"/>
  <c r="Y74" i="6"/>
  <c r="X74" i="6"/>
  <c r="W74" i="6"/>
  <c r="A74" i="6"/>
  <c r="AC73" i="6"/>
  <c r="AB73" i="6"/>
  <c r="AA73" i="6"/>
  <c r="Z73" i="6"/>
  <c r="Y73" i="6"/>
  <c r="X73" i="6"/>
  <c r="W73" i="6"/>
  <c r="A73" i="6"/>
  <c r="AC72" i="6"/>
  <c r="AB72" i="6"/>
  <c r="AA72" i="6"/>
  <c r="Z72" i="6"/>
  <c r="Y72" i="6"/>
  <c r="X72" i="6"/>
  <c r="W72" i="6"/>
  <c r="A72" i="6"/>
  <c r="AC71" i="6"/>
  <c r="AB71" i="6"/>
  <c r="AA71" i="6"/>
  <c r="Z71" i="6"/>
  <c r="Y71" i="6"/>
  <c r="X71" i="6"/>
  <c r="W71" i="6"/>
  <c r="A71" i="6"/>
  <c r="AC70" i="6"/>
  <c r="AB70" i="6"/>
  <c r="AA70" i="6"/>
  <c r="Z70" i="6"/>
  <c r="Y70" i="6"/>
  <c r="X70" i="6"/>
  <c r="W70" i="6"/>
  <c r="A70" i="6"/>
  <c r="AC69" i="6"/>
  <c r="AB69" i="6"/>
  <c r="AA69" i="6"/>
  <c r="Z69" i="6"/>
  <c r="Y69" i="6"/>
  <c r="X69" i="6"/>
  <c r="W69" i="6"/>
  <c r="A69" i="6"/>
  <c r="AC68" i="6"/>
  <c r="AB68" i="6"/>
  <c r="AA68" i="6"/>
  <c r="Z68" i="6"/>
  <c r="Y68" i="6"/>
  <c r="X68" i="6"/>
  <c r="W68" i="6"/>
  <c r="A68" i="6"/>
  <c r="AC67" i="6"/>
  <c r="AB67" i="6"/>
  <c r="AA67" i="6"/>
  <c r="Z67" i="6"/>
  <c r="Y67" i="6"/>
  <c r="X67" i="6"/>
  <c r="W67" i="6"/>
  <c r="A67" i="6"/>
  <c r="AC66" i="6"/>
  <c r="AB66" i="6"/>
  <c r="AA66" i="6"/>
  <c r="Z66" i="6"/>
  <c r="Y66" i="6"/>
  <c r="X66" i="6"/>
  <c r="W66" i="6"/>
  <c r="A66" i="6"/>
  <c r="AC65" i="6"/>
  <c r="AB65" i="6"/>
  <c r="AA65" i="6"/>
  <c r="Z65" i="6"/>
  <c r="Y65" i="6"/>
  <c r="X65" i="6"/>
  <c r="W65" i="6"/>
  <c r="A65" i="6"/>
  <c r="AC64" i="6"/>
  <c r="AB64" i="6"/>
  <c r="AA64" i="6"/>
  <c r="Z64" i="6"/>
  <c r="Y64" i="6"/>
  <c r="X64" i="6"/>
  <c r="W64" i="6"/>
  <c r="A64" i="6"/>
  <c r="AC63" i="6"/>
  <c r="AB63" i="6"/>
  <c r="AA63" i="6"/>
  <c r="Z63" i="6"/>
  <c r="Y63" i="6"/>
  <c r="X63" i="6"/>
  <c r="W63" i="6"/>
  <c r="A63" i="6"/>
  <c r="AC62" i="6"/>
  <c r="AB62" i="6"/>
  <c r="AA62" i="6"/>
  <c r="Z62" i="6"/>
  <c r="Y62" i="6"/>
  <c r="X62" i="6"/>
  <c r="W62" i="6"/>
  <c r="A62" i="6"/>
  <c r="AC61" i="6"/>
  <c r="AB61" i="6"/>
  <c r="AA61" i="6"/>
  <c r="Z61" i="6"/>
  <c r="Y61" i="6"/>
  <c r="X61" i="6"/>
  <c r="W61" i="6"/>
  <c r="A61" i="6"/>
  <c r="AC60" i="6"/>
  <c r="AB60" i="6"/>
  <c r="AA60" i="6"/>
  <c r="Z60" i="6"/>
  <c r="Y60" i="6"/>
  <c r="X60" i="6"/>
  <c r="W60" i="6"/>
  <c r="A60" i="6"/>
  <c r="AC59" i="6"/>
  <c r="AB59" i="6"/>
  <c r="AA59" i="6"/>
  <c r="Z59" i="6"/>
  <c r="Y59" i="6"/>
  <c r="X59" i="6"/>
  <c r="W59" i="6"/>
  <c r="A59" i="6"/>
  <c r="AC58" i="6"/>
  <c r="AB58" i="6"/>
  <c r="AA58" i="6"/>
  <c r="Z58" i="6"/>
  <c r="Y58" i="6"/>
  <c r="X58" i="6"/>
  <c r="W58" i="6"/>
  <c r="A58" i="6"/>
  <c r="AC57" i="6"/>
  <c r="AB57" i="6"/>
  <c r="AA57" i="6"/>
  <c r="Z57" i="6"/>
  <c r="Y57" i="6"/>
  <c r="X57" i="6"/>
  <c r="W57" i="6"/>
  <c r="A57" i="6"/>
  <c r="AC56" i="6"/>
  <c r="AB56" i="6"/>
  <c r="AA56" i="6"/>
  <c r="Z56" i="6"/>
  <c r="Y56" i="6"/>
  <c r="X56" i="6"/>
  <c r="W56" i="6"/>
  <c r="A56" i="6"/>
  <c r="AC55" i="6"/>
  <c r="AB55" i="6"/>
  <c r="AA55" i="6"/>
  <c r="Z55" i="6"/>
  <c r="Y55" i="6"/>
  <c r="X55" i="6"/>
  <c r="W55" i="6"/>
  <c r="A55" i="6"/>
  <c r="AC54" i="6"/>
  <c r="AB54" i="6"/>
  <c r="AA54" i="6"/>
  <c r="Z54" i="6"/>
  <c r="Y54" i="6"/>
  <c r="X54" i="6"/>
  <c r="W54" i="6"/>
  <c r="A54" i="6"/>
  <c r="AC53" i="6"/>
  <c r="AB53" i="6"/>
  <c r="AA53" i="6"/>
  <c r="Z53" i="6"/>
  <c r="Y53" i="6"/>
  <c r="X53" i="6"/>
  <c r="W53" i="6"/>
  <c r="A53" i="6"/>
  <c r="AC52" i="6"/>
  <c r="AB52" i="6"/>
  <c r="AA52" i="6"/>
  <c r="Z52" i="6"/>
  <c r="Y52" i="6"/>
  <c r="X52" i="6"/>
  <c r="W52" i="6"/>
  <c r="A52" i="6"/>
  <c r="AC51" i="6"/>
  <c r="AB51" i="6"/>
  <c r="AA51" i="6"/>
  <c r="Z51" i="6"/>
  <c r="Y51" i="6"/>
  <c r="X51" i="6"/>
  <c r="W51" i="6"/>
  <c r="A51" i="6"/>
  <c r="AC50" i="6"/>
  <c r="AB50" i="6"/>
  <c r="AA50" i="6"/>
  <c r="Z50" i="6"/>
  <c r="Y50" i="6"/>
  <c r="X50" i="6"/>
  <c r="W50" i="6"/>
  <c r="A50" i="6"/>
  <c r="AC49" i="6"/>
  <c r="AB49" i="6"/>
  <c r="AA49" i="6"/>
  <c r="Z49" i="6"/>
  <c r="Y49" i="6"/>
  <c r="X49" i="6"/>
  <c r="W49" i="6"/>
  <c r="A49" i="6"/>
  <c r="AC48" i="6"/>
  <c r="AB48" i="6"/>
  <c r="AA48" i="6"/>
  <c r="Z48" i="6"/>
  <c r="Y48" i="6"/>
  <c r="X48" i="6"/>
  <c r="W48" i="6"/>
  <c r="A48" i="6"/>
  <c r="AC47" i="6"/>
  <c r="AB47" i="6"/>
  <c r="AA47" i="6"/>
  <c r="Z47" i="6"/>
  <c r="Y47" i="6"/>
  <c r="X47" i="6"/>
  <c r="W47" i="6"/>
  <c r="A47" i="6"/>
  <c r="AC46" i="6"/>
  <c r="AB46" i="6"/>
  <c r="AA46" i="6"/>
  <c r="Z46" i="6"/>
  <c r="Y46" i="6"/>
  <c r="X46" i="6"/>
  <c r="W46" i="6"/>
  <c r="A46" i="6"/>
  <c r="AC45" i="6"/>
  <c r="AB45" i="6"/>
  <c r="AA45" i="6"/>
  <c r="Z45" i="6"/>
  <c r="Y45" i="6"/>
  <c r="X45" i="6"/>
  <c r="W45" i="6"/>
  <c r="A45" i="6"/>
  <c r="AC44" i="6"/>
  <c r="AB44" i="6"/>
  <c r="AA44" i="6"/>
  <c r="Z44" i="6"/>
  <c r="Y44" i="6"/>
  <c r="X44" i="6"/>
  <c r="W44" i="6"/>
  <c r="A44" i="6"/>
  <c r="AC43" i="6"/>
  <c r="AB43" i="6"/>
  <c r="AA43" i="6"/>
  <c r="Z43" i="6"/>
  <c r="Y43" i="6"/>
  <c r="X43" i="6"/>
  <c r="W43" i="6"/>
  <c r="A43" i="6"/>
  <c r="AC42" i="6"/>
  <c r="AB42" i="6"/>
  <c r="AA42" i="6"/>
  <c r="Z42" i="6"/>
  <c r="Y42" i="6"/>
  <c r="X42" i="6"/>
  <c r="W42" i="6"/>
  <c r="A42" i="6"/>
  <c r="AC41" i="6"/>
  <c r="AB41" i="6"/>
  <c r="AA41" i="6"/>
  <c r="Z41" i="6"/>
  <c r="Y41" i="6"/>
  <c r="X41" i="6"/>
  <c r="W41" i="6"/>
  <c r="A41" i="6"/>
  <c r="AC40" i="6"/>
  <c r="AB40" i="6"/>
  <c r="AA40" i="6"/>
  <c r="Z40" i="6"/>
  <c r="Y40" i="6"/>
  <c r="X40" i="6"/>
  <c r="W40" i="6"/>
  <c r="A40" i="6"/>
  <c r="AC39" i="6"/>
  <c r="AB39" i="6"/>
  <c r="AA39" i="6"/>
  <c r="Z39" i="6"/>
  <c r="Y39" i="6"/>
  <c r="X39" i="6"/>
  <c r="W39" i="6"/>
  <c r="A39" i="6"/>
  <c r="AC38" i="6"/>
  <c r="AB38" i="6"/>
  <c r="AA38" i="6"/>
  <c r="Z38" i="6"/>
  <c r="Y38" i="6"/>
  <c r="X38" i="6"/>
  <c r="W38" i="6"/>
  <c r="A38" i="6"/>
  <c r="AC37" i="6"/>
  <c r="AB37" i="6"/>
  <c r="AA37" i="6"/>
  <c r="Z37" i="6"/>
  <c r="Y37" i="6"/>
  <c r="X37" i="6"/>
  <c r="W37" i="6"/>
  <c r="A37" i="6"/>
  <c r="AC36" i="6"/>
  <c r="AB36" i="6"/>
  <c r="AA36" i="6"/>
  <c r="Z36" i="6"/>
  <c r="Y36" i="6"/>
  <c r="X36" i="6"/>
  <c r="W36" i="6"/>
  <c r="A36" i="6"/>
  <c r="AC35" i="6"/>
  <c r="AB35" i="6"/>
  <c r="AA35" i="6"/>
  <c r="Z35" i="6"/>
  <c r="Y35" i="6"/>
  <c r="X35" i="6"/>
  <c r="W35" i="6"/>
  <c r="A35" i="6"/>
  <c r="AC34" i="6"/>
  <c r="AB34" i="6"/>
  <c r="AA34" i="6"/>
  <c r="Z34" i="6"/>
  <c r="Y34" i="6"/>
  <c r="X34" i="6"/>
  <c r="W34" i="6"/>
  <c r="A34" i="6"/>
  <c r="AC33" i="6"/>
  <c r="AB33" i="6"/>
  <c r="AA33" i="6"/>
  <c r="Z33" i="6"/>
  <c r="Y33" i="6"/>
  <c r="X33" i="6"/>
  <c r="W33" i="6"/>
  <c r="A33" i="6"/>
  <c r="AC32" i="6"/>
  <c r="AB32" i="6"/>
  <c r="AA32" i="6"/>
  <c r="Z32" i="6"/>
  <c r="Y32" i="6"/>
  <c r="X32" i="6"/>
  <c r="W32" i="6"/>
  <c r="A32" i="6"/>
  <c r="AC31" i="6"/>
  <c r="AB31" i="6"/>
  <c r="AA31" i="6"/>
  <c r="Z31" i="6"/>
  <c r="Y31" i="6"/>
  <c r="X31" i="6"/>
  <c r="W31" i="6"/>
  <c r="A31" i="6"/>
  <c r="AC30" i="6"/>
  <c r="AB30" i="6"/>
  <c r="AA30" i="6"/>
  <c r="Z30" i="6"/>
  <c r="Y30" i="6"/>
  <c r="X30" i="6"/>
  <c r="W30" i="6"/>
  <c r="A30" i="6"/>
  <c r="AC29" i="6"/>
  <c r="AB29" i="6"/>
  <c r="AA29" i="6"/>
  <c r="Z29" i="6"/>
  <c r="Y29" i="6"/>
  <c r="X29" i="6"/>
  <c r="W29" i="6"/>
  <c r="A29" i="6"/>
  <c r="AC28" i="6"/>
  <c r="AB28" i="6"/>
  <c r="AA28" i="6"/>
  <c r="Z28" i="6"/>
  <c r="Y28" i="6"/>
  <c r="X28" i="6"/>
  <c r="W28" i="6"/>
  <c r="A28" i="6"/>
  <c r="AC27" i="6"/>
  <c r="AB27" i="6"/>
  <c r="AA27" i="6"/>
  <c r="Z27" i="6"/>
  <c r="Y27" i="6"/>
  <c r="X27" i="6"/>
  <c r="W27" i="6"/>
  <c r="A27" i="6"/>
  <c r="AC26" i="6"/>
  <c r="AB26" i="6"/>
  <c r="AA26" i="6"/>
  <c r="Z26" i="6"/>
  <c r="Y26" i="6"/>
  <c r="X26" i="6"/>
  <c r="W26" i="6"/>
  <c r="A26" i="6"/>
  <c r="AC25" i="6"/>
  <c r="AB25" i="6"/>
  <c r="AA25" i="6"/>
  <c r="Z25" i="6"/>
  <c r="Y25" i="6"/>
  <c r="X25" i="6"/>
  <c r="W25" i="6"/>
  <c r="A25" i="6"/>
  <c r="AC24" i="6"/>
  <c r="AB24" i="6"/>
  <c r="AA24" i="6"/>
  <c r="Z24" i="6"/>
  <c r="Y24" i="6"/>
  <c r="X24" i="6"/>
  <c r="W24" i="6"/>
  <c r="A24" i="6"/>
  <c r="AC23" i="6"/>
  <c r="AB23" i="6"/>
  <c r="AA23" i="6"/>
  <c r="Z23" i="6"/>
  <c r="Y23" i="6"/>
  <c r="X23" i="6"/>
  <c r="W23" i="6"/>
  <c r="A23" i="6"/>
  <c r="AC22" i="6"/>
  <c r="AB22" i="6"/>
  <c r="AA22" i="6"/>
  <c r="Z22" i="6"/>
  <c r="Y22" i="6"/>
  <c r="X22" i="6"/>
  <c r="W22" i="6"/>
  <c r="A22" i="6"/>
  <c r="AC21" i="6"/>
  <c r="AB21" i="6"/>
  <c r="AA21" i="6"/>
  <c r="Z21" i="6"/>
  <c r="Y21" i="6"/>
  <c r="X21" i="6"/>
  <c r="W21" i="6"/>
  <c r="A21" i="6"/>
  <c r="AC20" i="6"/>
  <c r="AB20" i="6"/>
  <c r="AA20" i="6"/>
  <c r="Z20" i="6"/>
  <c r="Y20" i="6"/>
  <c r="X20" i="6"/>
  <c r="W20" i="6"/>
  <c r="A20" i="6"/>
  <c r="AC19" i="6"/>
  <c r="AB19" i="6"/>
  <c r="AA19" i="6"/>
  <c r="Z19" i="6"/>
  <c r="Y19" i="6"/>
  <c r="X19" i="6"/>
  <c r="W19" i="6"/>
  <c r="A19" i="6"/>
  <c r="AC18" i="6"/>
  <c r="AB18" i="6"/>
  <c r="AA18" i="6"/>
  <c r="Z18" i="6"/>
  <c r="Y18" i="6"/>
  <c r="X18" i="6"/>
  <c r="W18" i="6"/>
  <c r="A18" i="6"/>
  <c r="AC17" i="6"/>
  <c r="AB17" i="6"/>
  <c r="AA17" i="6"/>
  <c r="Z17" i="6"/>
  <c r="Y17" i="6"/>
  <c r="X17" i="6"/>
  <c r="W17" i="6"/>
  <c r="A17" i="6"/>
  <c r="AC16" i="6"/>
  <c r="AB16" i="6"/>
  <c r="AA16" i="6"/>
  <c r="Z16" i="6"/>
  <c r="Y16" i="6"/>
  <c r="X16" i="6"/>
  <c r="W16" i="6"/>
  <c r="A16" i="6"/>
  <c r="AC15" i="6"/>
  <c r="AB15" i="6"/>
  <c r="AA15" i="6"/>
  <c r="Z15" i="6"/>
  <c r="Y15" i="6"/>
  <c r="X15" i="6"/>
  <c r="W15" i="6"/>
  <c r="A15" i="6"/>
  <c r="AC14" i="6"/>
  <c r="AB14" i="6"/>
  <c r="AA14" i="6"/>
  <c r="Z14" i="6"/>
  <c r="Y14" i="6"/>
  <c r="X14" i="6"/>
  <c r="W14" i="6"/>
  <c r="A14" i="6"/>
  <c r="AC13" i="6"/>
  <c r="AB13" i="6"/>
  <c r="AA13" i="6"/>
  <c r="Z13" i="6"/>
  <c r="Y13" i="6"/>
  <c r="X13" i="6"/>
  <c r="W13" i="6"/>
  <c r="A13" i="6"/>
  <c r="AC12" i="6"/>
  <c r="AB12" i="6"/>
  <c r="AA12" i="6"/>
  <c r="Z12" i="6"/>
  <c r="Y12" i="6"/>
  <c r="X12" i="6"/>
  <c r="W12" i="6"/>
  <c r="A12" i="6"/>
  <c r="AC11" i="6"/>
  <c r="AB11" i="6"/>
  <c r="AA11" i="6"/>
  <c r="Z11" i="6"/>
  <c r="Y11" i="6"/>
  <c r="X11" i="6"/>
  <c r="W11" i="6"/>
  <c r="A11" i="6"/>
  <c r="AC10" i="6"/>
  <c r="AB10" i="6"/>
  <c r="AA10" i="6"/>
  <c r="Z10" i="6"/>
  <c r="Y10" i="6"/>
  <c r="X10" i="6"/>
  <c r="W10" i="6"/>
  <c r="A10" i="6"/>
  <c r="AC9" i="6"/>
  <c r="AB9" i="6"/>
  <c r="AA9" i="6"/>
  <c r="Z9" i="6"/>
  <c r="Y9" i="6"/>
  <c r="X9" i="6"/>
  <c r="W9" i="6"/>
  <c r="A9" i="6"/>
  <c r="AC8" i="6"/>
  <c r="AB8" i="6"/>
  <c r="AA8" i="6"/>
  <c r="Z8" i="6"/>
  <c r="Y8" i="6"/>
  <c r="X8" i="6"/>
  <c r="W8" i="6"/>
  <c r="A8" i="6"/>
  <c r="AC7" i="6"/>
  <c r="AB7" i="6"/>
  <c r="AA7" i="6"/>
  <c r="Z7" i="6"/>
  <c r="Y7" i="6"/>
  <c r="X7" i="6"/>
  <c r="W7" i="6"/>
  <c r="A7" i="6"/>
  <c r="AC6" i="6"/>
  <c r="AB6" i="6"/>
  <c r="AA6" i="6"/>
  <c r="Z6" i="6"/>
  <c r="Y6" i="6"/>
  <c r="X6" i="6"/>
  <c r="W6" i="6"/>
  <c r="A6" i="6"/>
  <c r="AC5" i="6"/>
  <c r="AB5" i="6"/>
  <c r="AA5" i="6"/>
  <c r="Z5" i="6"/>
  <c r="Y5" i="6"/>
  <c r="X5" i="6"/>
  <c r="W5" i="6"/>
  <c r="A5" i="6"/>
  <c r="Y204" i="1"/>
  <c r="X204" i="1"/>
  <c r="W204" i="1"/>
  <c r="Y203" i="1"/>
  <c r="X203" i="1"/>
  <c r="W203" i="1"/>
  <c r="Y202" i="1"/>
  <c r="X202" i="1"/>
  <c r="W202" i="1"/>
  <c r="Y201" i="1"/>
  <c r="X201" i="1"/>
  <c r="W201" i="1"/>
  <c r="Y200" i="1"/>
  <c r="X200" i="1"/>
  <c r="W200" i="1"/>
  <c r="Y199" i="1"/>
  <c r="X199" i="1"/>
  <c r="W199" i="1"/>
  <c r="Y198" i="1"/>
  <c r="X198" i="1"/>
  <c r="W198" i="1"/>
  <c r="Y197" i="1"/>
  <c r="X197" i="1"/>
  <c r="W197" i="1"/>
  <c r="Y196" i="1"/>
  <c r="X196" i="1"/>
  <c r="W196" i="1"/>
  <c r="Y195" i="1"/>
  <c r="X195" i="1"/>
  <c r="W195" i="1"/>
  <c r="Y194" i="1"/>
  <c r="X194" i="1"/>
  <c r="W194" i="1"/>
  <c r="Y193" i="1"/>
  <c r="X193" i="1"/>
  <c r="W193" i="1"/>
  <c r="Y192" i="1"/>
  <c r="X192" i="1"/>
  <c r="W192" i="1"/>
  <c r="Y191" i="1"/>
  <c r="X191" i="1"/>
  <c r="W191" i="1"/>
  <c r="Y190" i="1"/>
  <c r="X190" i="1"/>
  <c r="W190" i="1"/>
  <c r="Y189" i="1"/>
  <c r="X189" i="1"/>
  <c r="W189" i="1"/>
  <c r="Y188" i="1"/>
  <c r="X188" i="1"/>
  <c r="W188" i="1"/>
  <c r="Y187" i="1"/>
  <c r="X187" i="1"/>
  <c r="W187" i="1"/>
  <c r="Y186" i="1"/>
  <c r="X186" i="1"/>
  <c r="W186" i="1"/>
  <c r="Y185" i="1"/>
  <c r="X185" i="1"/>
  <c r="W185" i="1"/>
  <c r="Y184" i="1"/>
  <c r="X184" i="1"/>
  <c r="W184" i="1"/>
  <c r="Y183" i="1"/>
  <c r="X183" i="1"/>
  <c r="W183" i="1"/>
  <c r="Y182" i="1"/>
  <c r="X182" i="1"/>
  <c r="W182" i="1"/>
  <c r="Y181" i="1"/>
  <c r="X181" i="1"/>
  <c r="W181" i="1"/>
  <c r="Y180" i="1"/>
  <c r="X180" i="1"/>
  <c r="W180" i="1"/>
  <c r="Y179" i="1"/>
  <c r="X179" i="1"/>
  <c r="W179" i="1"/>
  <c r="Y178" i="1"/>
  <c r="X178" i="1"/>
  <c r="W178" i="1"/>
  <c r="Y177" i="1"/>
  <c r="X177" i="1"/>
  <c r="W177" i="1"/>
  <c r="Y176" i="1"/>
  <c r="X176" i="1"/>
  <c r="W176" i="1"/>
  <c r="Y175" i="1"/>
  <c r="X175" i="1"/>
  <c r="W175" i="1"/>
  <c r="Y174" i="1"/>
  <c r="X174" i="1"/>
  <c r="W174" i="1"/>
  <c r="Y173" i="1"/>
  <c r="X173" i="1"/>
  <c r="W173" i="1"/>
  <c r="Y172" i="1"/>
  <c r="X172" i="1"/>
  <c r="W172" i="1"/>
  <c r="Y171" i="1"/>
  <c r="X171" i="1"/>
  <c r="W171" i="1"/>
  <c r="Y170" i="1"/>
  <c r="X170" i="1"/>
  <c r="W170" i="1"/>
  <c r="Y169" i="1"/>
  <c r="X169" i="1"/>
  <c r="W169" i="1"/>
  <c r="Y168" i="1"/>
  <c r="X168" i="1"/>
  <c r="W168" i="1"/>
  <c r="Y167" i="1"/>
  <c r="X167" i="1"/>
  <c r="W167" i="1"/>
  <c r="Y166" i="1"/>
  <c r="X166" i="1"/>
  <c r="W166" i="1"/>
  <c r="Y165" i="1"/>
  <c r="X165" i="1"/>
  <c r="W165" i="1"/>
  <c r="Y164" i="1"/>
  <c r="X164" i="1"/>
  <c r="W164" i="1"/>
  <c r="Y163" i="1"/>
  <c r="X163" i="1"/>
  <c r="W163" i="1"/>
  <c r="Y162" i="1"/>
  <c r="X162" i="1"/>
  <c r="W162" i="1"/>
  <c r="Y161" i="1"/>
  <c r="X161" i="1"/>
  <c r="W161" i="1"/>
  <c r="Y160" i="1"/>
  <c r="X160" i="1"/>
  <c r="W160" i="1"/>
  <c r="Y159" i="1"/>
  <c r="X159" i="1"/>
  <c r="W159" i="1"/>
  <c r="Y158" i="1"/>
  <c r="X158" i="1"/>
  <c r="W158" i="1"/>
  <c r="Y157" i="1"/>
  <c r="X157" i="1"/>
  <c r="W157" i="1"/>
  <c r="Y156" i="1"/>
  <c r="X156" i="1"/>
  <c r="W156" i="1"/>
  <c r="Y155" i="1"/>
  <c r="X155" i="1"/>
  <c r="W155" i="1"/>
  <c r="Y154" i="1"/>
  <c r="X154" i="1"/>
  <c r="W154" i="1"/>
  <c r="Y153" i="1"/>
  <c r="X153" i="1"/>
  <c r="W153" i="1"/>
  <c r="Y152" i="1"/>
  <c r="X152" i="1"/>
  <c r="W152" i="1"/>
  <c r="Y151" i="1"/>
  <c r="X151" i="1"/>
  <c r="W151" i="1"/>
  <c r="Y150" i="1"/>
  <c r="X150" i="1"/>
  <c r="W150" i="1"/>
  <c r="Y149" i="1"/>
  <c r="X149" i="1"/>
  <c r="W149" i="1"/>
  <c r="Y148" i="1"/>
  <c r="X148" i="1"/>
  <c r="W148" i="1"/>
  <c r="Y147" i="1"/>
  <c r="X147" i="1"/>
  <c r="W147" i="1"/>
  <c r="Y146" i="1"/>
  <c r="X146" i="1"/>
  <c r="W146" i="1"/>
  <c r="Y145" i="1"/>
  <c r="X145" i="1"/>
  <c r="W145" i="1"/>
  <c r="Y144" i="1"/>
  <c r="X144" i="1"/>
  <c r="W144" i="1"/>
  <c r="Y143" i="1"/>
  <c r="X143" i="1"/>
  <c r="W143" i="1"/>
  <c r="Y142" i="1"/>
  <c r="X142" i="1"/>
  <c r="W142" i="1"/>
  <c r="Y141" i="1"/>
  <c r="X141" i="1"/>
  <c r="W141" i="1"/>
  <c r="Y140" i="1"/>
  <c r="X140" i="1"/>
  <c r="W140" i="1"/>
  <c r="Y139" i="1"/>
  <c r="X139" i="1"/>
  <c r="W139" i="1"/>
  <c r="Y138" i="1"/>
  <c r="X138" i="1"/>
  <c r="W138" i="1"/>
  <c r="Y137" i="1"/>
  <c r="X137" i="1"/>
  <c r="W137" i="1"/>
  <c r="Y136" i="1"/>
  <c r="X136" i="1"/>
  <c r="W136" i="1"/>
  <c r="Y135" i="1"/>
  <c r="X135" i="1"/>
  <c r="W135" i="1"/>
  <c r="Y134" i="1"/>
  <c r="X134" i="1"/>
  <c r="W134" i="1"/>
  <c r="Y133" i="1"/>
  <c r="X133" i="1"/>
  <c r="W133" i="1"/>
  <c r="Y132" i="1"/>
  <c r="X132" i="1"/>
  <c r="W132" i="1"/>
  <c r="Y131" i="1"/>
  <c r="X131" i="1"/>
  <c r="W131" i="1"/>
  <c r="Y130" i="1"/>
  <c r="X130" i="1"/>
  <c r="W130" i="1"/>
  <c r="Y129" i="1"/>
  <c r="X129" i="1"/>
  <c r="W129" i="1"/>
  <c r="Y128" i="1"/>
  <c r="X128" i="1"/>
  <c r="W128" i="1"/>
  <c r="Y127" i="1"/>
  <c r="X127" i="1"/>
  <c r="W127" i="1"/>
  <c r="Y126" i="1"/>
  <c r="X126" i="1"/>
  <c r="W126" i="1"/>
  <c r="Y125" i="1"/>
  <c r="X125" i="1"/>
  <c r="W125" i="1"/>
  <c r="Y124" i="1"/>
  <c r="X124" i="1"/>
  <c r="W124" i="1"/>
  <c r="Y123" i="1"/>
  <c r="X123" i="1"/>
  <c r="W123" i="1"/>
  <c r="Y122" i="1"/>
  <c r="X122" i="1"/>
  <c r="W122" i="1"/>
  <c r="Y121" i="1"/>
  <c r="X121" i="1"/>
  <c r="W121" i="1"/>
  <c r="Y120" i="1"/>
  <c r="X120" i="1"/>
  <c r="W120" i="1"/>
  <c r="Y119" i="1"/>
  <c r="X119" i="1"/>
  <c r="W119" i="1"/>
  <c r="Y118" i="1"/>
  <c r="X118" i="1"/>
  <c r="W118" i="1"/>
  <c r="Y117" i="1"/>
  <c r="X117" i="1"/>
  <c r="W117" i="1"/>
  <c r="Y116" i="1"/>
  <c r="X116" i="1"/>
  <c r="W116" i="1"/>
  <c r="Y115" i="1"/>
  <c r="X115" i="1"/>
  <c r="W115" i="1"/>
  <c r="Y114" i="1"/>
  <c r="X114" i="1"/>
  <c r="W114" i="1"/>
  <c r="Y113" i="1"/>
  <c r="X113" i="1"/>
  <c r="W113" i="1"/>
  <c r="Y112" i="1"/>
  <c r="X112" i="1"/>
  <c r="W112" i="1"/>
  <c r="Y111" i="1"/>
  <c r="X111" i="1"/>
  <c r="W111" i="1"/>
  <c r="Y110" i="1"/>
  <c r="X110" i="1"/>
  <c r="W110" i="1"/>
  <c r="Y109" i="1"/>
  <c r="X109" i="1"/>
  <c r="W109" i="1"/>
  <c r="Y108" i="1"/>
  <c r="X108" i="1"/>
  <c r="W108" i="1"/>
  <c r="Y107" i="1"/>
  <c r="X107" i="1"/>
  <c r="W107" i="1"/>
  <c r="Y106" i="1"/>
  <c r="X106" i="1"/>
  <c r="W106" i="1"/>
  <c r="Y105" i="1"/>
  <c r="X105" i="1"/>
  <c r="W105" i="1"/>
  <c r="Y104" i="1"/>
  <c r="X104" i="1"/>
  <c r="W104" i="1"/>
  <c r="Y103" i="1"/>
  <c r="X103" i="1"/>
  <c r="W103" i="1"/>
  <c r="Y102" i="1"/>
  <c r="X102" i="1"/>
  <c r="W102" i="1"/>
  <c r="Y101" i="1"/>
  <c r="X101" i="1"/>
  <c r="W101" i="1"/>
  <c r="Y100" i="1"/>
  <c r="X100" i="1"/>
  <c r="W100" i="1"/>
  <c r="Y99" i="1"/>
  <c r="X99" i="1"/>
  <c r="W99" i="1"/>
  <c r="Y98" i="1"/>
  <c r="X98" i="1"/>
  <c r="W98" i="1"/>
  <c r="Y97" i="1"/>
  <c r="X97" i="1"/>
  <c r="W97" i="1"/>
  <c r="Y96" i="1"/>
  <c r="X96" i="1"/>
  <c r="W96" i="1"/>
  <c r="Y95" i="1"/>
  <c r="X95" i="1"/>
  <c r="W95" i="1"/>
  <c r="Y94" i="1"/>
  <c r="X94" i="1"/>
  <c r="W94" i="1"/>
  <c r="Y93" i="1"/>
  <c r="X93" i="1"/>
  <c r="W93" i="1"/>
  <c r="Y92" i="1"/>
  <c r="X92" i="1"/>
  <c r="W92" i="1"/>
  <c r="Y91" i="1"/>
  <c r="X91" i="1"/>
  <c r="W91" i="1"/>
  <c r="Y90" i="1"/>
  <c r="X90" i="1"/>
  <c r="W90" i="1"/>
  <c r="Y89" i="1"/>
  <c r="X89" i="1"/>
  <c r="W89" i="1"/>
  <c r="Y88" i="1"/>
  <c r="X88" i="1"/>
  <c r="W88" i="1"/>
  <c r="Y87" i="1"/>
  <c r="X87" i="1"/>
  <c r="W87" i="1"/>
  <c r="Y86" i="1"/>
  <c r="X86" i="1"/>
  <c r="W86" i="1"/>
  <c r="Y85" i="1"/>
  <c r="X85" i="1"/>
  <c r="W85" i="1"/>
  <c r="Y84" i="1"/>
  <c r="X84" i="1"/>
  <c r="W84" i="1"/>
  <c r="Y83" i="1"/>
  <c r="X83" i="1"/>
  <c r="W83" i="1"/>
  <c r="Y82" i="1"/>
  <c r="X82" i="1"/>
  <c r="W82" i="1"/>
  <c r="Y81" i="1"/>
  <c r="X81" i="1"/>
  <c r="W81" i="1"/>
  <c r="Y80" i="1"/>
  <c r="X80" i="1"/>
  <c r="W80" i="1"/>
  <c r="Y79" i="1"/>
  <c r="X79" i="1"/>
  <c r="W79" i="1"/>
  <c r="Y78" i="1"/>
  <c r="X78" i="1"/>
  <c r="W78" i="1"/>
  <c r="Y77" i="1"/>
  <c r="X77" i="1"/>
  <c r="W77" i="1"/>
  <c r="Y76" i="1"/>
  <c r="X76" i="1"/>
  <c r="W76" i="1"/>
  <c r="Y75" i="1"/>
  <c r="X75" i="1"/>
  <c r="W75" i="1"/>
  <c r="Y74" i="1"/>
  <c r="X74" i="1"/>
  <c r="W74" i="1"/>
  <c r="Y73" i="1"/>
  <c r="X73" i="1"/>
  <c r="W73" i="1"/>
  <c r="Y72" i="1"/>
  <c r="X72" i="1"/>
  <c r="W72" i="1"/>
  <c r="Y71" i="1"/>
  <c r="X71" i="1"/>
  <c r="W71" i="1"/>
  <c r="Y70" i="1"/>
  <c r="X70" i="1"/>
  <c r="W70" i="1"/>
  <c r="Y69" i="1"/>
  <c r="X69" i="1"/>
  <c r="W69" i="1"/>
  <c r="Y68" i="1"/>
  <c r="X68" i="1"/>
  <c r="W68" i="1"/>
  <c r="Y67" i="1"/>
  <c r="X67" i="1"/>
  <c r="W67" i="1"/>
  <c r="Y66" i="1"/>
  <c r="X66" i="1"/>
  <c r="W66" i="1"/>
  <c r="Y65" i="1"/>
  <c r="X65" i="1"/>
  <c r="W65" i="1"/>
  <c r="Y64" i="1"/>
  <c r="X64" i="1"/>
  <c r="W64" i="1"/>
  <c r="Y63" i="1"/>
  <c r="X63" i="1"/>
  <c r="W63" i="1"/>
  <c r="Y62" i="1"/>
  <c r="X62" i="1"/>
  <c r="W62" i="1"/>
  <c r="Y61" i="1"/>
  <c r="X61" i="1"/>
  <c r="W61" i="1"/>
  <c r="Y60" i="1"/>
  <c r="X60" i="1"/>
  <c r="W60" i="1"/>
  <c r="Y59" i="1"/>
  <c r="X59" i="1"/>
  <c r="W59" i="1"/>
  <c r="Y58" i="1"/>
  <c r="X58" i="1"/>
  <c r="W58" i="1"/>
  <c r="Y57" i="1"/>
  <c r="X57" i="1"/>
  <c r="W57" i="1"/>
  <c r="Y56" i="1"/>
  <c r="X56" i="1"/>
  <c r="W56" i="1"/>
  <c r="Y55" i="1"/>
  <c r="X55" i="1"/>
  <c r="W55" i="1"/>
  <c r="Y54" i="1"/>
  <c r="X54" i="1"/>
  <c r="W54" i="1"/>
  <c r="Y53" i="1"/>
  <c r="X53" i="1"/>
  <c r="W53" i="1"/>
  <c r="Y52" i="1"/>
  <c r="X52" i="1"/>
  <c r="W52" i="1"/>
  <c r="Y51" i="1"/>
  <c r="X51" i="1"/>
  <c r="W51" i="1"/>
  <c r="Y50" i="1"/>
  <c r="X50" i="1"/>
  <c r="W50" i="1"/>
  <c r="Y49" i="1"/>
  <c r="X49" i="1"/>
  <c r="W49" i="1"/>
  <c r="Y48" i="1"/>
  <c r="X48" i="1"/>
  <c r="W48" i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Y42" i="1"/>
  <c r="X42" i="1"/>
  <c r="W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X37" i="1"/>
  <c r="W37" i="1"/>
  <c r="Y36" i="1"/>
  <c r="X36" i="1"/>
  <c r="W36" i="1"/>
  <c r="Y35" i="1"/>
  <c r="X35" i="1"/>
  <c r="W35" i="1"/>
  <c r="Y34" i="1"/>
  <c r="X34" i="1"/>
  <c r="W34" i="1"/>
  <c r="Y33" i="1"/>
  <c r="X33" i="1"/>
  <c r="W33" i="1"/>
  <c r="Y32" i="1"/>
  <c r="X32" i="1"/>
  <c r="W32" i="1"/>
  <c r="Y31" i="1"/>
  <c r="X31" i="1"/>
  <c r="W31" i="1"/>
  <c r="Y30" i="1"/>
  <c r="X30" i="1"/>
  <c r="W30" i="1"/>
  <c r="Y29" i="1"/>
  <c r="X29" i="1"/>
  <c r="W29" i="1"/>
  <c r="Y28" i="1"/>
  <c r="X28" i="1"/>
  <c r="W28" i="1"/>
  <c r="Y27" i="1"/>
  <c r="X27" i="1"/>
  <c r="W27" i="1"/>
  <c r="Y26" i="1"/>
  <c r="X26" i="1"/>
  <c r="W26" i="1"/>
  <c r="Y25" i="1"/>
  <c r="X25" i="1"/>
  <c r="W25" i="1"/>
  <c r="Y24" i="1"/>
  <c r="X24" i="1"/>
  <c r="W24" i="1"/>
  <c r="Y23" i="1"/>
  <c r="X23" i="1"/>
  <c r="W23" i="1"/>
  <c r="Y22" i="1"/>
  <c r="X22" i="1"/>
  <c r="W22" i="1"/>
  <c r="Y21" i="1"/>
  <c r="X21" i="1"/>
  <c r="W21" i="1"/>
  <c r="Y20" i="1"/>
  <c r="X20" i="1"/>
  <c r="W20" i="1"/>
  <c r="Y19" i="1"/>
  <c r="X19" i="1"/>
  <c r="W19" i="1"/>
  <c r="Y18" i="1"/>
  <c r="X18" i="1"/>
  <c r="W18" i="1"/>
  <c r="Y17" i="1"/>
  <c r="X17" i="1"/>
  <c r="W17" i="1"/>
  <c r="Y16" i="1"/>
  <c r="X16" i="1"/>
  <c r="W16" i="1"/>
  <c r="Y15" i="1"/>
  <c r="X15" i="1"/>
  <c r="W15" i="1"/>
  <c r="Y14" i="1"/>
  <c r="X14" i="1"/>
  <c r="W14" i="1"/>
  <c r="Y13" i="1"/>
  <c r="X13" i="1"/>
  <c r="W13" i="1"/>
  <c r="Y12" i="1"/>
  <c r="X12" i="1"/>
  <c r="W12" i="1"/>
  <c r="Y11" i="1"/>
  <c r="X11" i="1"/>
  <c r="W11" i="1"/>
  <c r="Y10" i="1"/>
  <c r="X10" i="1"/>
  <c r="W10" i="1"/>
  <c r="Y9" i="1"/>
  <c r="X9" i="1"/>
  <c r="W9" i="1"/>
  <c r="Y8" i="1"/>
  <c r="X8" i="1"/>
  <c r="W8" i="1"/>
  <c r="Y7" i="1"/>
  <c r="X7" i="1"/>
  <c r="Y6" i="1"/>
  <c r="X6" i="1"/>
  <c r="W6" i="1"/>
  <c r="Y5" i="1"/>
  <c r="X5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6" i="1"/>
  <c r="A7" i="1"/>
  <c r="A8" i="1"/>
  <c r="A9" i="1"/>
  <c r="A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</author>
    <author>user</author>
  </authors>
  <commentList>
    <comment ref="C4" authorId="0" shapeId="0" xr:uid="{31BD87DC-8563-4C14-B6AF-80B19BA070D0}">
      <text>
        <r>
          <rPr>
            <sz val="9"/>
            <color indexed="81"/>
            <rFont val="細明體"/>
            <family val="3"/>
            <charset val="136"/>
          </rPr>
          <t>請優先留存手機</t>
        </r>
      </text>
    </comment>
    <comment ref="H4" authorId="0" shapeId="0" xr:uid="{168BCDD4-6392-46B5-85A5-193441E0BBC3}">
      <text>
        <r>
          <rPr>
            <sz val="9"/>
            <color indexed="81"/>
            <rFont val="細明體"/>
            <family val="3"/>
            <charset val="136"/>
          </rPr>
          <t>地址書寫格式範例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Tahoma"/>
            <family val="2"/>
          </rPr>
          <t xml:space="preserve">i </t>
        </r>
        <r>
          <rPr>
            <b/>
            <sz val="9"/>
            <color indexed="81"/>
            <rFont val="細明體"/>
            <family val="3"/>
            <charset val="136"/>
          </rPr>
          <t>郵箱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臺北大安郵局</t>
        </r>
        <r>
          <rPr>
            <sz val="9"/>
            <color indexed="81"/>
            <rFont val="Tahoma"/>
            <family val="2"/>
          </rPr>
          <t xml:space="preserve"> i </t>
        </r>
        <r>
          <rPr>
            <sz val="9"/>
            <color indexed="81"/>
            <rFont val="細明體"/>
            <family val="3"/>
            <charset val="136"/>
          </rPr>
          <t>郵箱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細明體"/>
            <family val="3"/>
            <charset val="136"/>
          </rPr>
          <t>郵政信箱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臺北北門郵局第○○號信箱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細明體"/>
            <family val="3"/>
            <charset val="136"/>
          </rPr>
          <t>軍事特種信箱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左營郵政九○○○○附○○號信箱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細明體"/>
            <family val="3"/>
            <charset val="136"/>
          </rPr>
          <t>存局候領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金南郵局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4" authorId="0" shapeId="0" xr:uid="{B1F47CDC-E7CE-4AA8-A86F-28BC32589239}">
      <text>
        <r>
          <rPr>
            <b/>
            <sz val="9"/>
            <color indexed="57"/>
            <rFont val="細明體"/>
            <family val="3"/>
            <charset val="136"/>
          </rPr>
          <t>請優先留存手機</t>
        </r>
      </text>
    </comment>
    <comment ref="S4" authorId="1" shapeId="0" xr:uid="{499093A8-8A92-4C64-A6DC-C8E231EAA256}">
      <text>
        <r>
          <rPr>
            <sz val="9"/>
            <color indexed="81"/>
            <rFont val="細明體"/>
            <family val="3"/>
            <charset val="136"/>
          </rPr>
          <t>自備箱袋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信封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或
選用便利箱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袋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包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U4" authorId="0" shapeId="0" xr:uid="{A3AD0356-F868-4D5C-841D-62007DE922D6}">
      <text>
        <r>
          <rPr>
            <sz val="9"/>
            <color indexed="81"/>
            <rFont val="細明體"/>
            <family val="3"/>
            <charset val="136"/>
          </rPr>
          <t>本報值服務僅提供裝取非法定紙幣，其報值金額新台幣每千元或其畸零數加收4元報值費(報值最高額為新台幣50,000元)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</author>
    <author>Administrat</author>
    <author>user</author>
  </authors>
  <commentList>
    <comment ref="C4" authorId="0" shapeId="0" xr:uid="{4A636299-F01E-4E9F-8587-C8EA4CC4D831}">
      <text>
        <r>
          <rPr>
            <sz val="9"/>
            <color indexed="81"/>
            <rFont val="細明體"/>
            <family val="3"/>
            <charset val="136"/>
          </rPr>
          <t>請優先留存手機</t>
        </r>
      </text>
    </comment>
    <comment ref="E4" authorId="1" shapeId="0" xr:uid="{A013D0A2-B4AE-41F6-8570-BB736058DC24}">
      <text>
        <r>
          <rPr>
            <sz val="9"/>
            <color indexed="81"/>
            <rFont val="細明體"/>
            <family val="3"/>
            <charset val="136"/>
          </rPr>
          <t>地址書寫格式範例
當寄達地址類型</t>
        </r>
        <r>
          <rPr>
            <b/>
            <sz val="9"/>
            <color indexed="81"/>
            <rFont val="細明體"/>
            <family val="3"/>
            <charset val="136"/>
          </rPr>
          <t>=i郵箱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收件地址=台北市大安區臺北大安郵局 i 郵箱
當寄達地址類型</t>
        </r>
        <r>
          <rPr>
            <b/>
            <sz val="9"/>
            <color indexed="81"/>
            <rFont val="細明體"/>
            <family val="3"/>
            <charset val="136"/>
          </rPr>
          <t>=郵政信箱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收件地址=台北市大安區臺北北門郵局第○○號信箱
當寄達地址類型</t>
        </r>
        <r>
          <rPr>
            <b/>
            <sz val="9"/>
            <color indexed="81"/>
            <rFont val="細明體"/>
            <family val="3"/>
            <charset val="136"/>
          </rPr>
          <t>=軍事特種信箱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收件地址=台北市大安區左營郵政九○○○○附○○號信箱
當寄達地址類型</t>
        </r>
        <r>
          <rPr>
            <b/>
            <sz val="9"/>
            <color indexed="81"/>
            <rFont val="細明體"/>
            <family val="3"/>
            <charset val="136"/>
          </rPr>
          <t>=存局候領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收件地址=台北市大安區金南郵局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BA736974-DBC7-4D62-BBC2-C10E7F979FC2}">
      <text>
        <r>
          <rPr>
            <b/>
            <sz val="9"/>
            <color indexed="57"/>
            <rFont val="細明體"/>
            <family val="3"/>
            <charset val="136"/>
          </rPr>
          <t>請優先留存手機</t>
        </r>
      </text>
    </comment>
    <comment ref="S4" authorId="2" shapeId="0" xr:uid="{8ED538E4-A514-4729-BB6B-E82A74BA3102}">
      <text>
        <r>
          <rPr>
            <sz val="9"/>
            <color indexed="81"/>
            <rFont val="細明體"/>
            <family val="3"/>
            <charset val="136"/>
          </rPr>
          <t>自備箱袋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信封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或
選用便利箱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袋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包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U4" authorId="0" shapeId="0" xr:uid="{9F8A1D99-3901-42C8-A2CB-B0765F0FF892}">
      <text>
        <r>
          <rPr>
            <sz val="9"/>
            <color indexed="81"/>
            <rFont val="細明體"/>
            <family val="3"/>
            <charset val="136"/>
          </rPr>
          <t>本報值服務僅提供裝取非法定紙幣，其報值金額新台幣每千元或其畸零數加收4元報值費(報值最高額為新台幣50,000元)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<sst xmlns="http://schemas.openxmlformats.org/spreadsheetml/2006/main" count="1018" uniqueCount="921">
  <si>
    <t>內容物</t>
    <phoneticPr fontId="2" type="noConversion"/>
  </si>
  <si>
    <t>總重量
(kg)</t>
    <phoneticPr fontId="2" type="noConversion"/>
  </si>
  <si>
    <t>是否</t>
    <phoneticPr fontId="2" type="noConversion"/>
  </si>
  <si>
    <t>Y</t>
    <phoneticPr fontId="2" type="noConversion"/>
  </si>
  <si>
    <t>N</t>
    <phoneticPr fontId="2" type="noConversion"/>
  </si>
  <si>
    <t>編號</t>
    <phoneticPr fontId="2" type="noConversion"/>
  </si>
  <si>
    <t>收件人
姓名</t>
    <phoneticPr fontId="2" type="noConversion"/>
  </si>
  <si>
    <t>ROW_NO</t>
    <phoneticPr fontId="2" type="noConversion"/>
  </si>
  <si>
    <t>證別證類別</t>
  </si>
  <si>
    <t>本國-身分證字號</t>
  </si>
  <si>
    <t>本國-公司統一編號</t>
  </si>
  <si>
    <t>外籍人士-統一證號</t>
  </si>
  <si>
    <t>外籍人士-居留證號</t>
  </si>
  <si>
    <t>外籍人士-護照號碼</t>
  </si>
  <si>
    <t>收件人
電話</t>
    <phoneticPr fontId="2" type="noConversion"/>
  </si>
  <si>
    <t>禮品</t>
  </si>
  <si>
    <t>食品</t>
  </si>
  <si>
    <t>零件</t>
  </si>
  <si>
    <t>貨樣</t>
  </si>
  <si>
    <t>書籍</t>
  </si>
  <si>
    <t>衣物</t>
  </si>
  <si>
    <t>藥品</t>
  </si>
  <si>
    <t>日用品</t>
  </si>
  <si>
    <t>002</t>
  </si>
  <si>
    <t>003</t>
  </si>
  <si>
    <t>宜蘭縣</t>
  </si>
  <si>
    <t>基隆市</t>
  </si>
  <si>
    <t>臺北市</t>
  </si>
  <si>
    <t>新北市</t>
  </si>
  <si>
    <t>桃園市</t>
  </si>
  <si>
    <t>新竹市</t>
  </si>
  <si>
    <t>新竹縣</t>
  </si>
  <si>
    <t>苗栗縣</t>
  </si>
  <si>
    <t>臺中市</t>
  </si>
  <si>
    <t>南投縣</t>
  </si>
  <si>
    <t>彰化縣</t>
  </si>
  <si>
    <t>雲林縣</t>
  </si>
  <si>
    <t>嘉義市</t>
  </si>
  <si>
    <t>嘉義縣</t>
  </si>
  <si>
    <t>臺南市</t>
  </si>
  <si>
    <t>高雄市</t>
  </si>
  <si>
    <t>屏東縣</t>
  </si>
  <si>
    <t>臺東縣</t>
  </si>
  <si>
    <t>花蓮縣</t>
  </si>
  <si>
    <t>澎湖縣</t>
  </si>
  <si>
    <t>金門縣</t>
  </si>
  <si>
    <t>連江縣</t>
  </si>
  <si>
    <t>釣魚臺</t>
  </si>
  <si>
    <t>南海島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</si>
  <si>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</si>
  <si>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</si>
  <si>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</si>
  <si>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</si>
  <si>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</si>
  <si>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</si>
  <si>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</si>
  <si>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</si>
  <si>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</si>
  <si>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</si>
  <si>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</si>
  <si>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</si>
  <si>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仁愛區</t>
  </si>
  <si>
    <t>安樂區</t>
  </si>
  <si>
    <t>暖暖區</t>
  </si>
  <si>
    <t>七堵區</t>
  </si>
  <si>
    <t>萬里區</t>
  </si>
  <si>
    <t>金山區</t>
  </si>
  <si>
    <t>南竿鄉</t>
  </si>
  <si>
    <t>北竿鄉</t>
  </si>
  <si>
    <t>莒光鄉</t>
  </si>
  <si>
    <t>東引鄉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</si>
  <si>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</si>
  <si>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</si>
  <si>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</si>
  <si>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</si>
  <si>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</si>
  <si>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</si>
  <si>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</si>
  <si>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</si>
  <si>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</si>
  <si>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</si>
  <si>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</si>
  <si>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</si>
  <si>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</si>
  <si>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</si>
  <si>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</si>
  <si>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</si>
  <si>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</si>
  <si>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</si>
  <si>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</si>
  <si>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</si>
  <si>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</si>
  <si>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</si>
  <si>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</si>
  <si>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</si>
  <si>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</si>
  <si>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</si>
  <si>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</si>
  <si>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宜蘭市</t>
  </si>
  <si>
    <t>頭城鎮</t>
  </si>
  <si>
    <t>礁溪鄉</t>
  </si>
  <si>
    <t>壯圍鄉</t>
  </si>
  <si>
    <t>員山鄉</t>
  </si>
  <si>
    <t>羅東鎮</t>
  </si>
  <si>
    <t>三星鄉</t>
  </si>
  <si>
    <t>大同鄉</t>
  </si>
  <si>
    <t>五結鄉</t>
  </si>
  <si>
    <t>冬山鄉</t>
  </si>
  <si>
    <t>蘇澳鎮</t>
  </si>
  <si>
    <t>南澳鄉</t>
  </si>
  <si>
    <t>東區</t>
  </si>
  <si>
    <t>北區</t>
  </si>
  <si>
    <t>竹北市</t>
  </si>
  <si>
    <t>湖口鄉</t>
  </si>
  <si>
    <t>新豐鄉</t>
  </si>
  <si>
    <t>新埔鎮</t>
  </si>
  <si>
    <t>關西鎮</t>
  </si>
  <si>
    <t>芎林鄉</t>
  </si>
  <si>
    <t>寶山鄉</t>
  </si>
  <si>
    <t>竹東鎮</t>
  </si>
  <si>
    <t>五峰鄉</t>
  </si>
  <si>
    <t>橫山鄉</t>
  </si>
  <si>
    <t>尖石鄉</t>
  </si>
  <si>
    <t>北埔鄉</t>
  </si>
  <si>
    <t>峨眉鄉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</si>
  <si>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</si>
  <si>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</si>
  <si>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</si>
  <si>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</si>
  <si>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</si>
  <si>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</si>
  <si>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</si>
  <si>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</si>
  <si>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</si>
  <si>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</si>
  <si>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</si>
  <si>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</si>
  <si>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</si>
  <si>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竹南鎮</t>
  </si>
  <si>
    <t>頭份市</t>
  </si>
  <si>
    <t>三灣鄉</t>
  </si>
  <si>
    <t>南庄鄉</t>
  </si>
  <si>
    <t>獅潭鄉</t>
  </si>
  <si>
    <t>後龍鎮</t>
  </si>
  <si>
    <t>通霄鎮</t>
  </si>
  <si>
    <t>苑裡鎮</t>
  </si>
  <si>
    <t>苗栗市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</si>
  <si>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</si>
  <si>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</si>
  <si>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</si>
  <si>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</si>
  <si>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</si>
  <si>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</si>
  <si>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</si>
  <si>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</si>
  <si>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卓蘭鎮</t>
  </si>
  <si>
    <t>中區</t>
  </si>
  <si>
    <t>南區</t>
  </si>
  <si>
    <t>西區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</si>
  <si>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</si>
  <si>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</si>
  <si>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</si>
  <si>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</si>
  <si>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</si>
  <si>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</si>
  <si>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</si>
  <si>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</si>
  <si>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</si>
  <si>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</si>
  <si>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</si>
  <si>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</si>
  <si>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</si>
  <si>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</si>
  <si>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</si>
  <si>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</si>
  <si>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</si>
  <si>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</si>
  <si>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</si>
  <si>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</si>
  <si>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</si>
  <si>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</si>
  <si>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</si>
  <si>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彰化市</t>
  </si>
  <si>
    <t>芬園鄉</t>
  </si>
  <si>
    <t>花壇鄉</t>
  </si>
  <si>
    <t>秀水鄉</t>
  </si>
  <si>
    <t>鹿港鎮</t>
  </si>
  <si>
    <t>福興鄉</t>
  </si>
  <si>
    <t>線西鄉</t>
  </si>
  <si>
    <t>和美鎮</t>
  </si>
  <si>
    <t>伸港鄉</t>
  </si>
  <si>
    <t>員林市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</si>
  <si>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</si>
  <si>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</si>
  <si>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</si>
  <si>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</si>
  <si>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</si>
  <si>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</si>
  <si>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</si>
  <si>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</si>
  <si>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</si>
  <si>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</si>
  <si>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</si>
  <si>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竹塘鄉</t>
  </si>
  <si>
    <t>二林鎮</t>
  </si>
  <si>
    <t>大城鄉</t>
  </si>
  <si>
    <t>芳苑鄉</t>
  </si>
  <si>
    <t>二水鄉</t>
  </si>
  <si>
    <t>南投市</t>
  </si>
  <si>
    <t>中寮鄉</t>
  </si>
  <si>
    <t>草屯鎮</t>
  </si>
  <si>
    <t>國姓鄉</t>
  </si>
  <si>
    <t>埔里鎮</t>
  </si>
  <si>
    <t>仁愛鄉</t>
  </si>
  <si>
    <t>名間鄉</t>
  </si>
  <si>
    <t>集集鎮</t>
  </si>
  <si>
    <t>水里鄉</t>
  </si>
  <si>
    <t>魚池鄉</t>
  </si>
  <si>
    <t>信義鄉</t>
  </si>
  <si>
    <t>竹山鎮</t>
  </si>
  <si>
    <t>鹿谷鄉</t>
  </si>
  <si>
    <t>番路鄉</t>
  </si>
  <si>
    <t>梅山鄉</t>
  </si>
  <si>
    <t>竹崎鄉</t>
  </si>
  <si>
    <t>阿里山鄉</t>
  </si>
  <si>
    <t>中埔鄉</t>
  </si>
  <si>
    <t>大埔鄉</t>
  </si>
  <si>
    <t>水上鄉</t>
  </si>
  <si>
    <t>鹿草鄉</t>
  </si>
  <si>
    <t>太保市</t>
  </si>
  <si>
    <t>朴子市</t>
  </si>
  <si>
    <t>東石鄉</t>
  </si>
  <si>
    <t>六腳鄉</t>
  </si>
  <si>
    <t>新港鄉</t>
  </si>
  <si>
    <t>民雄鄉</t>
  </si>
  <si>
    <t>大林鎮</t>
  </si>
  <si>
    <t>溪口鄉</t>
  </si>
  <si>
    <t>義竹鄉</t>
  </si>
  <si>
    <t>布袋鎮</t>
  </si>
  <si>
    <t>斗南鎮</t>
  </si>
  <si>
    <t>大埤鄉</t>
  </si>
  <si>
    <t>虎尾鎮</t>
  </si>
  <si>
    <t>土庫鎮</t>
  </si>
  <si>
    <t>褒忠鄉</t>
  </si>
  <si>
    <t>東勢鄉</t>
  </si>
  <si>
    <t>臺西鄉</t>
  </si>
  <si>
    <t>崙背鄉</t>
  </si>
  <si>
    <t>麥寮鄉</t>
  </si>
  <si>
    <t>斗六市</t>
  </si>
  <si>
    <t>林內鄉</t>
  </si>
  <si>
    <t>古坑鄉</t>
  </si>
  <si>
    <t>莿桐鄉</t>
  </si>
  <si>
    <t>西螺鎮</t>
  </si>
  <si>
    <t>二崙鄉</t>
  </si>
  <si>
    <t>北港鎮</t>
  </si>
  <si>
    <t>水林鄉</t>
  </si>
  <si>
    <t>口湖鄉</t>
  </si>
  <si>
    <t>四湖鄉</t>
  </si>
  <si>
    <t>元長鄉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</si>
  <si>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</si>
  <si>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</si>
  <si>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</si>
  <si>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</si>
  <si>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</si>
  <si>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</si>
  <si>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</si>
  <si>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</si>
  <si>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</si>
  <si>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</si>
  <si>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</si>
  <si>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</si>
  <si>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</si>
  <si>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</si>
  <si>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</si>
  <si>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</si>
  <si>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</si>
  <si>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</si>
  <si>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</si>
  <si>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</si>
  <si>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</si>
  <si>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</si>
  <si>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</si>
  <si>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</si>
  <si>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</si>
  <si>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</si>
  <si>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</si>
  <si>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</si>
  <si>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</si>
  <si>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</si>
  <si>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</si>
  <si>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</si>
  <si>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</si>
  <si>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</si>
  <si>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</si>
  <si>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</si>
  <si>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</si>
  <si>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</si>
  <si>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</si>
  <si>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</si>
  <si>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</si>
  <si>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</si>
  <si>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</si>
  <si>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</si>
  <si>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</si>
  <si>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</si>
  <si>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</si>
  <si>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東沙群島</t>
  </si>
  <si>
    <t>南沙群島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</si>
  <si>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</si>
  <si>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</si>
  <si>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</si>
  <si>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</si>
  <si>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</si>
  <si>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</si>
  <si>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</si>
  <si>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</si>
  <si>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</si>
  <si>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</si>
  <si>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</si>
  <si>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</si>
  <si>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</si>
  <si>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</si>
  <si>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</si>
  <si>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</si>
  <si>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</si>
  <si>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</si>
  <si>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</si>
  <si>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</si>
  <si>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</si>
  <si>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</si>
  <si>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那瑪夏區</t>
  </si>
  <si>
    <t>茂林區</t>
  </si>
  <si>
    <t>茄萣區</t>
  </si>
  <si>
    <t>馬公市</t>
  </si>
  <si>
    <t>西嶼鄉</t>
  </si>
  <si>
    <t>望安鄉</t>
  </si>
  <si>
    <t>七美鄉</t>
  </si>
  <si>
    <t>白沙鄉</t>
  </si>
  <si>
    <t>湖西鄉</t>
  </si>
  <si>
    <t>金沙鎮</t>
  </si>
  <si>
    <t>金湖鎮</t>
  </si>
  <si>
    <t>金寧鄉</t>
  </si>
  <si>
    <t>金城鎮</t>
  </si>
  <si>
    <t>烈嶼鄉</t>
  </si>
  <si>
    <t>烏坵鄉</t>
  </si>
  <si>
    <t>屏東市</t>
  </si>
  <si>
    <t>三地門鄉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</si>
  <si>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</si>
  <si>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</si>
  <si>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</si>
  <si>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</si>
  <si>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</si>
  <si>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</si>
  <si>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</si>
  <si>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</si>
  <si>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</si>
  <si>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</si>
  <si>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</si>
  <si>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</si>
  <si>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泰武鄉</t>
  </si>
  <si>
    <t>來義鄉</t>
  </si>
  <si>
    <t>萬巒鄉</t>
  </si>
  <si>
    <t>崁頂鄉</t>
  </si>
  <si>
    <t>新埤鄉</t>
  </si>
  <si>
    <t>南州鄉</t>
  </si>
  <si>
    <t>林邊鄉</t>
  </si>
  <si>
    <t>東港鎮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</si>
  <si>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</si>
  <si>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</si>
  <si>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</si>
  <si>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</si>
  <si>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</si>
  <si>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</si>
  <si>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</si>
  <si>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</si>
  <si>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</si>
  <si>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恆春鎮</t>
  </si>
  <si>
    <t>滿州鄉</t>
  </si>
  <si>
    <t>臺東市</t>
  </si>
  <si>
    <t>綠島鄉</t>
  </si>
  <si>
    <t>蘭嶼鄉</t>
  </si>
  <si>
    <t>延平鄉</t>
  </si>
  <si>
    <t>卑南鄉</t>
  </si>
  <si>
    <t>鹿野鄉</t>
  </si>
  <si>
    <t>關山鎮</t>
  </si>
  <si>
    <t>海端鄉</t>
  </si>
  <si>
    <t>池上鄉</t>
  </si>
  <si>
    <t>東河鄉</t>
  </si>
  <si>
    <t>成功鎮</t>
  </si>
  <si>
    <t>長濱鄉</t>
  </si>
  <si>
    <t>太麻里鄉</t>
  </si>
  <si>
    <t>金峰鄉</t>
  </si>
  <si>
    <t>大武鄉</t>
  </si>
  <si>
    <t>達仁鄉</t>
  </si>
  <si>
    <t>花蓮市</t>
  </si>
  <si>
    <t>新城鄉</t>
  </si>
  <si>
    <t>秀林鄉</t>
  </si>
  <si>
    <t>吉安鄉</t>
  </si>
  <si>
    <t>壽豐鄉</t>
  </si>
  <si>
    <t>鳳林鎮</t>
  </si>
  <si>
    <t>光復鄉</t>
  </si>
  <si>
    <t>豐濱鄉</t>
  </si>
  <si>
    <t>瑞穗鄉</t>
  </si>
  <si>
    <t>萬榮鄉</t>
  </si>
  <si>
    <t>玉里鎮</t>
  </si>
  <si>
    <t>卓溪鄉</t>
  </si>
  <si>
    <t>富里鄉</t>
  </si>
  <si>
    <t>縣市</t>
    <phoneticPr fontId="2" type="noConversion"/>
  </si>
  <si>
    <t>MAIL_RNAME</t>
    <phoneticPr fontId="2" type="noConversion"/>
  </si>
  <si>
    <t>MAIL_RADD_CITY</t>
    <phoneticPr fontId="2" type="noConversion"/>
  </si>
  <si>
    <t>MAIL_RADD_AREA</t>
    <phoneticPr fontId="2" type="noConversion"/>
  </si>
  <si>
    <t>MAIL_RADD_TYPE</t>
    <phoneticPr fontId="2" type="noConversion"/>
  </si>
  <si>
    <t>001</t>
    <phoneticPr fontId="2" type="noConversion"/>
  </si>
  <si>
    <t>退回寄件人(另付退回費)</t>
    <phoneticPr fontId="2" type="noConversion"/>
  </si>
  <si>
    <t>拋棄</t>
    <phoneticPr fontId="2" type="noConversion"/>
  </si>
  <si>
    <t>改投(另付資費)</t>
    <phoneticPr fontId="2" type="noConversion"/>
  </si>
  <si>
    <t>未送達處理方式</t>
    <phoneticPr fontId="2" type="noConversion"/>
  </si>
  <si>
    <t>郵件寄達地址類型</t>
    <phoneticPr fontId="2" type="noConversion"/>
  </si>
  <si>
    <t>收件人郵遞區號</t>
    <phoneticPr fontId="2" type="noConversion"/>
  </si>
  <si>
    <t>寄件人郵遞區號</t>
    <phoneticPr fontId="2" type="noConversion"/>
  </si>
  <si>
    <t>臺北市-中正區</t>
  </si>
  <si>
    <t>臺北市-大同區</t>
  </si>
  <si>
    <t>臺北市-中山區</t>
  </si>
  <si>
    <t>臺北市-松山區</t>
  </si>
  <si>
    <t>臺北市-大安區</t>
  </si>
  <si>
    <t>臺北市-萬華區</t>
  </si>
  <si>
    <t>臺北市-信義區</t>
  </si>
  <si>
    <t>臺北市-士林區</t>
  </si>
  <si>
    <t>臺北市-北投區</t>
  </si>
  <si>
    <t>臺北市-內湖區</t>
  </si>
  <si>
    <t>臺北市-南港區</t>
  </si>
  <si>
    <t>臺北市-文山區</t>
  </si>
  <si>
    <t>基隆市-仁愛區</t>
  </si>
  <si>
    <t>基隆市-信義區</t>
  </si>
  <si>
    <t>基隆市-中正區</t>
  </si>
  <si>
    <t>基隆市-中山區</t>
  </si>
  <si>
    <t>基隆市-安樂區</t>
  </si>
  <si>
    <t>基隆市-暖暖區</t>
  </si>
  <si>
    <t>基隆市-七堵區</t>
  </si>
  <si>
    <t>新北市-萬里區</t>
  </si>
  <si>
    <t>新北市-金山區</t>
  </si>
  <si>
    <t>連江縣-南竿鄉</t>
  </si>
  <si>
    <t>連江縣-北竿鄉</t>
  </si>
  <si>
    <t>連江縣-莒光鄉</t>
  </si>
  <si>
    <t>連江縣-東引鄉</t>
  </si>
  <si>
    <t>新北市-板橋區</t>
  </si>
  <si>
    <t>新北市-汐止區</t>
  </si>
  <si>
    <t>新北市-深坑區</t>
  </si>
  <si>
    <t>新北市-石碇區</t>
  </si>
  <si>
    <t>新北市-瑞芳區</t>
  </si>
  <si>
    <t>新北市-平溪區</t>
  </si>
  <si>
    <t>新北市-雙溪區</t>
  </si>
  <si>
    <t>新北市-貢寮區</t>
  </si>
  <si>
    <t>新北市-新店區</t>
  </si>
  <si>
    <t>新北市-坪林區</t>
  </si>
  <si>
    <t>新北市-烏來區</t>
  </si>
  <si>
    <t>新北市-永和區</t>
  </si>
  <si>
    <t>新北市-中和區</t>
  </si>
  <si>
    <t>新北市-土城區</t>
  </si>
  <si>
    <t>新北市-三峽區</t>
  </si>
  <si>
    <t>新北市-樹林區</t>
  </si>
  <si>
    <t>新北市-鶯歌區</t>
  </si>
  <si>
    <t>新北市-三重區</t>
  </si>
  <si>
    <t>新北市-新莊區</t>
  </si>
  <si>
    <t>新北市-泰山區</t>
  </si>
  <si>
    <t>新北市-林口區</t>
  </si>
  <si>
    <t>新北市-蘆洲區</t>
  </si>
  <si>
    <t>新北市-五股區</t>
  </si>
  <si>
    <t>新北市-八里區</t>
  </si>
  <si>
    <t>新北市-淡水區</t>
  </si>
  <si>
    <t>新北市-三芝區</t>
  </si>
  <si>
    <t>新北市-石門區</t>
  </si>
  <si>
    <t>宜蘭縣-宜蘭市</t>
  </si>
  <si>
    <t>宜蘭縣-頭城鎮</t>
  </si>
  <si>
    <t>宜蘭縣-礁溪鄉</t>
  </si>
  <si>
    <t>宜蘭縣-壯圍鄉</t>
  </si>
  <si>
    <t>宜蘭縣-員山鄉</t>
  </si>
  <si>
    <t>宜蘭縣-羅東鎮</t>
  </si>
  <si>
    <t>宜蘭縣-三星鄉</t>
  </si>
  <si>
    <t>宜蘭縣-大同鄉</t>
  </si>
  <si>
    <t>宜蘭縣-五結鄉</t>
  </si>
  <si>
    <t>宜蘭縣-冬山鄉</t>
  </si>
  <si>
    <t>宜蘭縣-蘇澳鎮</t>
  </si>
  <si>
    <t>宜蘭縣-南澳鄉</t>
  </si>
  <si>
    <t>宜蘭縣-釣魚臺</t>
  </si>
  <si>
    <t>釣魚臺-釣魚臺</t>
  </si>
  <si>
    <t>新竹市-東區</t>
  </si>
  <si>
    <t>新竹市-北區</t>
  </si>
  <si>
    <t>新竹市-香山區</t>
  </si>
  <si>
    <t>新竹縣-竹北市</t>
  </si>
  <si>
    <t>新竹縣-湖口鄉</t>
  </si>
  <si>
    <t>新竹縣-新豐鄉</t>
  </si>
  <si>
    <t>新竹縣-新埔鎮</t>
  </si>
  <si>
    <t>新竹縣-關西鎮</t>
  </si>
  <si>
    <t>新竹縣-芎林鄉</t>
  </si>
  <si>
    <t>新竹縣-寶山鄉</t>
  </si>
  <si>
    <t>新竹縣-竹東鎮</t>
  </si>
  <si>
    <t>新竹縣-五峰鄉</t>
  </si>
  <si>
    <t>新竹縣-橫山鄉</t>
  </si>
  <si>
    <t>新竹縣-尖石鄉</t>
  </si>
  <si>
    <t>新竹縣-北埔鄉</t>
  </si>
  <si>
    <t>新竹縣-峨眉鄉</t>
  </si>
  <si>
    <t>桃園市-中壢區</t>
  </si>
  <si>
    <t>桃園市-平鎮區</t>
  </si>
  <si>
    <t>桃園市-龍潭區</t>
  </si>
  <si>
    <t>桃園市-楊梅區</t>
  </si>
  <si>
    <t>桃園市-新屋區</t>
  </si>
  <si>
    <t>桃園市-觀音區</t>
  </si>
  <si>
    <t>桃園市-桃園區</t>
  </si>
  <si>
    <t>桃園市-龜山區</t>
  </si>
  <si>
    <t>桃園市-八德區</t>
  </si>
  <si>
    <t>桃園市-大溪區</t>
  </si>
  <si>
    <t>桃園市-復興區</t>
  </si>
  <si>
    <t>桃園市-大園區</t>
  </si>
  <si>
    <t>桃園市-蘆竹區</t>
  </si>
  <si>
    <t>苗栗縣-竹南鎮</t>
  </si>
  <si>
    <t>苗栗縣-頭份市</t>
  </si>
  <si>
    <t>苗栗縣-三灣鄉</t>
  </si>
  <si>
    <t>苗栗縣-南庄鄉</t>
  </si>
  <si>
    <t>苗栗縣-獅潭鄉</t>
  </si>
  <si>
    <t>苗栗縣-後龍鎮</t>
  </si>
  <si>
    <t>苗栗縣-通霄鎮</t>
  </si>
  <si>
    <t>苗栗縣-苑裡鎮</t>
  </si>
  <si>
    <t>苗栗縣-苗栗市</t>
  </si>
  <si>
    <t>苗栗縣-造橋鄉</t>
  </si>
  <si>
    <t>苗栗縣-頭屋鄉</t>
  </si>
  <si>
    <t>苗栗縣-公館鄉</t>
  </si>
  <si>
    <t>苗栗縣-大湖鄉</t>
  </si>
  <si>
    <t>苗栗縣-泰安鄉</t>
  </si>
  <si>
    <t>苗栗縣-銅鑼鄉</t>
  </si>
  <si>
    <t>苗栗縣-三義鄉</t>
  </si>
  <si>
    <t>苗栗縣-西湖鄉</t>
  </si>
  <si>
    <t>苗栗縣-卓蘭鎮</t>
  </si>
  <si>
    <t>臺中市-中區</t>
  </si>
  <si>
    <t>臺中市-東區</t>
  </si>
  <si>
    <t>臺中市-南區</t>
  </si>
  <si>
    <t>臺中市-西區</t>
  </si>
  <si>
    <t>臺中市-北區</t>
  </si>
  <si>
    <t>臺中市-北屯區</t>
  </si>
  <si>
    <t>臺中市-西屯區</t>
  </si>
  <si>
    <t>臺中市-南屯區</t>
  </si>
  <si>
    <t>臺中市-太平區</t>
  </si>
  <si>
    <t>臺中市-大里區</t>
  </si>
  <si>
    <t>臺中市-霧峰區</t>
  </si>
  <si>
    <t>臺中市-烏日區</t>
  </si>
  <si>
    <t>臺中市-豐原區</t>
  </si>
  <si>
    <t>臺中市-后里區</t>
  </si>
  <si>
    <t>臺中市-石岡區</t>
  </si>
  <si>
    <t>臺中市-東勢區</t>
  </si>
  <si>
    <t>臺中市-和平區</t>
  </si>
  <si>
    <t>臺中市-新社區</t>
  </si>
  <si>
    <t>臺中市-潭子區</t>
  </si>
  <si>
    <t>臺中市-大雅區</t>
  </si>
  <si>
    <t>臺中市-神岡區</t>
  </si>
  <si>
    <t>臺中市-大肚區</t>
  </si>
  <si>
    <t>臺中市-沙鹿區</t>
  </si>
  <si>
    <t>臺中市-龍井區</t>
  </si>
  <si>
    <t>臺中市-梧棲區</t>
  </si>
  <si>
    <t>臺中市-清水區</t>
  </si>
  <si>
    <t>臺中市-大甲區</t>
  </si>
  <si>
    <t>臺中市-外埔區</t>
  </si>
  <si>
    <t>臺中市-大安區</t>
  </si>
  <si>
    <t>彰化縣-彰化市</t>
  </si>
  <si>
    <t>彰化縣-芬園鄉</t>
  </si>
  <si>
    <t>彰化縣-花壇鄉</t>
  </si>
  <si>
    <t>彰化縣-秀水鄉</t>
  </si>
  <si>
    <t>彰化縣-鹿港鎮</t>
  </si>
  <si>
    <t>彰化縣-福興鄉</t>
  </si>
  <si>
    <t>彰化縣-線西鄉</t>
  </si>
  <si>
    <t>彰化縣-和美鎮</t>
  </si>
  <si>
    <t>彰化縣-伸港鄉</t>
  </si>
  <si>
    <t>彰化縣-員林市</t>
  </si>
  <si>
    <t>彰化縣-社頭鄉</t>
  </si>
  <si>
    <t>彰化縣-永靖鄉</t>
  </si>
  <si>
    <t>彰化縣-埔心鄉</t>
  </si>
  <si>
    <t>彰化縣-溪湖鎮</t>
  </si>
  <si>
    <t>彰化縣-大村鄉</t>
  </si>
  <si>
    <t>彰化縣-埔鹽鄉</t>
  </si>
  <si>
    <t>彰化縣-田中鎮</t>
  </si>
  <si>
    <t>彰化縣-北斗鎮</t>
  </si>
  <si>
    <t>彰化縣-田尾鄉</t>
  </si>
  <si>
    <t>彰化縣-埤頭鄉</t>
  </si>
  <si>
    <t>彰化縣-溪州鄉</t>
  </si>
  <si>
    <t>彰化縣-竹塘鄉</t>
  </si>
  <si>
    <t>彰化縣-二林鎮</t>
  </si>
  <si>
    <t>彰化縣-大城鄉</t>
  </si>
  <si>
    <t>彰化縣-芳苑鄉</t>
  </si>
  <si>
    <t>彰化縣-二水鄉</t>
  </si>
  <si>
    <t>南投縣-南投市</t>
  </si>
  <si>
    <t>南投縣-中寮鄉</t>
  </si>
  <si>
    <t>南投縣-草屯鎮</t>
  </si>
  <si>
    <t>南投縣-國姓鄉</t>
  </si>
  <si>
    <t>南投縣-埔里鎮</t>
  </si>
  <si>
    <t>南投縣-仁愛鄉</t>
  </si>
  <si>
    <t>南投縣-名間鄉</t>
  </si>
  <si>
    <t>南投縣-集集鎮</t>
  </si>
  <si>
    <t>南投縣-水里鄉</t>
  </si>
  <si>
    <t>南投縣-魚池鄉</t>
  </si>
  <si>
    <t>南投縣-信義鄉</t>
  </si>
  <si>
    <t>南投縣-竹山鎮</t>
  </si>
  <si>
    <t>南投縣-鹿谷鄉</t>
  </si>
  <si>
    <t>嘉義市-東區</t>
  </si>
  <si>
    <t>嘉義市-西區</t>
  </si>
  <si>
    <t>嘉義縣-番路鄉</t>
  </si>
  <si>
    <t>嘉義縣-梅山鄉</t>
  </si>
  <si>
    <t>嘉義縣-竹崎鄉</t>
  </si>
  <si>
    <t>嘉義縣-阿里山鄉</t>
  </si>
  <si>
    <t>嘉義縣-中埔鄉</t>
  </si>
  <si>
    <t>嘉義縣-大埔鄉</t>
  </si>
  <si>
    <t>嘉義縣-水上鄉</t>
  </si>
  <si>
    <t>嘉義縣-鹿草鄉</t>
  </si>
  <si>
    <t>嘉義縣-太保市</t>
  </si>
  <si>
    <t>嘉義縣-朴子市</t>
  </si>
  <si>
    <t>嘉義縣-東石鄉</t>
  </si>
  <si>
    <t>嘉義縣-六腳鄉</t>
  </si>
  <si>
    <t>嘉義縣-新港鄉</t>
  </si>
  <si>
    <t>嘉義縣-民雄鄉</t>
  </si>
  <si>
    <t>嘉義縣-大林鎮</t>
  </si>
  <si>
    <t>嘉義縣-溪口鄉</t>
  </si>
  <si>
    <t>嘉義縣-義竹鄉</t>
  </si>
  <si>
    <t>嘉義縣-布袋鎮</t>
  </si>
  <si>
    <t>雲林縣-斗南鎮</t>
  </si>
  <si>
    <t>雲林縣-大埤鄉</t>
  </si>
  <si>
    <t>雲林縣-虎尾鎮</t>
  </si>
  <si>
    <t>雲林縣-土庫鎮</t>
  </si>
  <si>
    <t>雲林縣-褒忠鄉</t>
  </si>
  <si>
    <t>雲林縣-東勢鄉</t>
  </si>
  <si>
    <t>雲林縣-臺西鄉</t>
  </si>
  <si>
    <t>雲林縣-崙背鄉</t>
  </si>
  <si>
    <t>雲林縣-麥寮鄉</t>
  </si>
  <si>
    <t>雲林縣-斗六市</t>
  </si>
  <si>
    <t>雲林縣-林內鄉</t>
  </si>
  <si>
    <t>雲林縣-古坑鄉</t>
  </si>
  <si>
    <t>雲林縣-莿桐鄉</t>
  </si>
  <si>
    <t>雲林縣-西螺鎮</t>
  </si>
  <si>
    <t>雲林縣-二崙鄉</t>
  </si>
  <si>
    <t>雲林縣-北港鎮</t>
  </si>
  <si>
    <t>雲林縣-水林鄉</t>
  </si>
  <si>
    <t>雲林縣-口湖鄉</t>
  </si>
  <si>
    <t>雲林縣-四湖鄉</t>
  </si>
  <si>
    <t>雲林縣-元長鄉</t>
  </si>
  <si>
    <t>臺南市-中西區</t>
  </si>
  <si>
    <t>臺南市-東區</t>
  </si>
  <si>
    <t>臺南市-南區</t>
  </si>
  <si>
    <t>臺南市-北區</t>
  </si>
  <si>
    <t>臺南市-安平區</t>
  </si>
  <si>
    <t>臺南市-安南區</t>
  </si>
  <si>
    <t>臺南市-永康區</t>
  </si>
  <si>
    <t>臺南市-歸仁區</t>
  </si>
  <si>
    <t>臺南市-新化區</t>
  </si>
  <si>
    <t>臺南市-左鎮區</t>
  </si>
  <si>
    <t>臺南市-玉井區</t>
  </si>
  <si>
    <t>臺南市-楠西區</t>
  </si>
  <si>
    <t>臺南市-南化區</t>
  </si>
  <si>
    <t>臺南市-仁德區</t>
  </si>
  <si>
    <t>臺南市-關廟區</t>
  </si>
  <si>
    <t>臺南市-龍崎區</t>
  </si>
  <si>
    <t>臺南市-官田區</t>
  </si>
  <si>
    <t>臺南市-麻豆區</t>
  </si>
  <si>
    <t>臺南市-佳里區</t>
  </si>
  <si>
    <t>臺南市-西港區</t>
  </si>
  <si>
    <t>臺南市-七股區</t>
  </si>
  <si>
    <t>臺南市-將軍區</t>
  </si>
  <si>
    <t>臺南市-學甲區</t>
  </si>
  <si>
    <t>臺南市-北門區</t>
  </si>
  <si>
    <t>臺南市-新營區</t>
  </si>
  <si>
    <t>臺南市-後壁區</t>
  </si>
  <si>
    <t>臺南市-白河區</t>
  </si>
  <si>
    <t>臺南市-東山區</t>
  </si>
  <si>
    <t>臺南市-六甲區</t>
  </si>
  <si>
    <t>臺南市-下營區</t>
  </si>
  <si>
    <t>臺南市-柳營區</t>
  </si>
  <si>
    <t>臺南市-鹽水區</t>
  </si>
  <si>
    <t>臺南市-善化區</t>
  </si>
  <si>
    <t>臺南市-大內區</t>
  </si>
  <si>
    <t>臺南市-山上區</t>
  </si>
  <si>
    <t>臺南市-新市區</t>
  </si>
  <si>
    <t>臺南市-安定區</t>
  </si>
  <si>
    <t>高雄市-新興區</t>
  </si>
  <si>
    <t>高雄市-前金區</t>
  </si>
  <si>
    <t>高雄市-苓雅區</t>
  </si>
  <si>
    <t>高雄市-鹽埕區</t>
  </si>
  <si>
    <t>高雄市-鼓山區</t>
  </si>
  <si>
    <t>高雄市-旗津區</t>
  </si>
  <si>
    <t>高雄市-前鎮區</t>
  </si>
  <si>
    <t>高雄市-三民區</t>
  </si>
  <si>
    <t>高雄市-楠梓區</t>
  </si>
  <si>
    <t>高雄市-小港區</t>
  </si>
  <si>
    <t>高雄市-左營區</t>
  </si>
  <si>
    <t>高雄市-仁武區</t>
  </si>
  <si>
    <t>高雄市-大社區</t>
  </si>
  <si>
    <t>高雄市-東沙群島</t>
  </si>
  <si>
    <t>高雄市-南沙群島</t>
  </si>
  <si>
    <t>南海島-東沙群島</t>
  </si>
  <si>
    <t>南海島-南沙群島</t>
  </si>
  <si>
    <t>高雄市-岡山區</t>
  </si>
  <si>
    <t>高雄市-路竹區</t>
  </si>
  <si>
    <t>高雄市-阿蓮區</t>
  </si>
  <si>
    <t>高雄市-田寮區</t>
  </si>
  <si>
    <t>高雄市-燕巢區</t>
  </si>
  <si>
    <t>高雄市-橋頭區</t>
  </si>
  <si>
    <t>高雄市-梓官區</t>
  </si>
  <si>
    <t>高雄市-彌陀區</t>
  </si>
  <si>
    <t>高雄市-永安區</t>
  </si>
  <si>
    <t>高雄市-湖內區</t>
  </si>
  <si>
    <t>高雄市-鳳山區</t>
  </si>
  <si>
    <t>高雄市-大寮區</t>
  </si>
  <si>
    <t>高雄市-林園區</t>
  </si>
  <si>
    <t>高雄市-鳥松區</t>
  </si>
  <si>
    <t>高雄市-大樹區</t>
  </si>
  <si>
    <t>高雄市-旗山區</t>
  </si>
  <si>
    <t>高雄市-美濃區</t>
  </si>
  <si>
    <t>高雄市-六龜區</t>
  </si>
  <si>
    <t>高雄市-內門區</t>
  </si>
  <si>
    <t>高雄市-杉林區</t>
  </si>
  <si>
    <t>高雄市-甲仙區</t>
  </si>
  <si>
    <t>高雄市-桃源區</t>
  </si>
  <si>
    <t>高雄市-那瑪夏區</t>
  </si>
  <si>
    <t>高雄市-茂林區</t>
  </si>
  <si>
    <t>高雄市-茄萣區</t>
  </si>
  <si>
    <t>澎湖縣-馬公市</t>
  </si>
  <si>
    <t>澎湖縣-西嶼鄉</t>
  </si>
  <si>
    <t>澎湖縣-望安鄉</t>
  </si>
  <si>
    <t>澎湖縣-七美鄉</t>
  </si>
  <si>
    <t>澎湖縣-白沙鄉</t>
  </si>
  <si>
    <t>澎湖縣-湖西鄉</t>
  </si>
  <si>
    <t>金門縣-金沙鎮</t>
  </si>
  <si>
    <t>金門縣-金湖鎮</t>
  </si>
  <si>
    <t>金門縣-金寧鄉</t>
  </si>
  <si>
    <t>金門縣-金城鎮</t>
  </si>
  <si>
    <t>金門縣-烈嶼鄉</t>
  </si>
  <si>
    <t>金門縣-烏坵鄉</t>
  </si>
  <si>
    <t>屏東縣-屏東市</t>
  </si>
  <si>
    <t>屏東縣-三地門鄉</t>
  </si>
  <si>
    <t>屏東縣-霧臺鄉</t>
  </si>
  <si>
    <t>屏東縣-瑪家鄉</t>
  </si>
  <si>
    <t>屏東縣-九如鄉</t>
  </si>
  <si>
    <t>屏東縣-里港鄉</t>
  </si>
  <si>
    <t>屏東縣-高樹鄉</t>
  </si>
  <si>
    <t>屏東縣-鹽埔鄉</t>
  </si>
  <si>
    <t>屏東縣-長治鄉</t>
  </si>
  <si>
    <t>屏東縣-麟洛鄉</t>
  </si>
  <si>
    <t>屏東縣-竹田鄉</t>
  </si>
  <si>
    <t>屏東縣-內埔鄉</t>
  </si>
  <si>
    <t>屏東縣-萬丹鄉</t>
  </si>
  <si>
    <t>屏東縣-潮州鎮</t>
  </si>
  <si>
    <t>屏東縣-泰武鄉</t>
  </si>
  <si>
    <t>屏東縣-來義鄉</t>
  </si>
  <si>
    <t>屏東縣-萬巒鄉</t>
  </si>
  <si>
    <t>屏東縣-崁頂鄉</t>
  </si>
  <si>
    <t>屏東縣-新埤鄉</t>
  </si>
  <si>
    <t>屏東縣-南州鄉</t>
  </si>
  <si>
    <t>屏東縣-林邊鄉</t>
  </si>
  <si>
    <t>屏東縣-東港鎮</t>
  </si>
  <si>
    <t>屏東縣-琉球鄉</t>
  </si>
  <si>
    <t>屏東縣-佳冬鄉</t>
  </si>
  <si>
    <t>屏東縣-新園鄉</t>
  </si>
  <si>
    <t>屏東縣-枋寮鄉</t>
  </si>
  <si>
    <t>屏東縣-枋山鄉</t>
  </si>
  <si>
    <t>屏東縣-春日鄉</t>
  </si>
  <si>
    <t>屏東縣-獅子鄉</t>
  </si>
  <si>
    <t>屏東縣-車城鄉</t>
  </si>
  <si>
    <t>屏東縣-牡丹鄉</t>
  </si>
  <si>
    <t>屏東縣-恆春鎮</t>
  </si>
  <si>
    <t>屏東縣-滿州鄉</t>
  </si>
  <si>
    <t>臺東縣-臺東市</t>
  </si>
  <si>
    <t>臺東縣-綠島鄉</t>
  </si>
  <si>
    <t>臺東縣-蘭嶼鄉</t>
  </si>
  <si>
    <t>臺東縣-延平鄉</t>
  </si>
  <si>
    <t>臺東縣-卑南鄉</t>
  </si>
  <si>
    <t>臺東縣-鹿野鄉</t>
  </si>
  <si>
    <t>臺東縣-關山鎮</t>
  </si>
  <si>
    <t>臺東縣-海端鄉</t>
  </si>
  <si>
    <t>臺東縣-池上鄉</t>
  </si>
  <si>
    <t>臺東縣-東河鄉</t>
  </si>
  <si>
    <t>臺東縣-成功鎮</t>
  </si>
  <si>
    <t>臺東縣-長濱鄉</t>
  </si>
  <si>
    <t>臺東縣-太麻里鄉</t>
  </si>
  <si>
    <t>臺東縣-金峰鄉</t>
  </si>
  <si>
    <t>臺東縣-大武鄉</t>
  </si>
  <si>
    <t>臺東縣-達仁鄉</t>
  </si>
  <si>
    <t>花蓮縣-花蓮市</t>
  </si>
  <si>
    <t>花蓮縣-新城鄉</t>
  </si>
  <si>
    <t>花蓮縣-秀林鄉</t>
  </si>
  <si>
    <t>花蓮縣-吉安鄉</t>
  </si>
  <si>
    <t>花蓮縣-壽豐鄉</t>
  </si>
  <si>
    <t>花蓮縣-鳳林鎮</t>
  </si>
  <si>
    <t>花蓮縣-光復鄉</t>
  </si>
  <si>
    <t>花蓮縣-豐濱鄉</t>
  </si>
  <si>
    <t>花蓮縣-瑞穗鄉</t>
  </si>
  <si>
    <t>花蓮縣-萬榮鄉</t>
  </si>
  <si>
    <t>花蓮縣-玉里鎮</t>
  </si>
  <si>
    <t>花蓮縣-卓溪鄉</t>
  </si>
  <si>
    <t>花蓮縣-富里鄉</t>
  </si>
  <si>
    <t>郵遞區號</t>
    <phoneticPr fontId="2" type="noConversion"/>
  </si>
  <si>
    <t>MAIL_SADD_ZIP</t>
    <phoneticPr fontId="2" type="noConversion"/>
  </si>
  <si>
    <t>MAIL_RADD_ZIP</t>
    <phoneticPr fontId="2" type="noConversion"/>
  </si>
  <si>
    <t>MAIL_RADD_OTHER</t>
    <phoneticPr fontId="2" type="noConversion"/>
  </si>
  <si>
    <t>A</t>
  </si>
  <si>
    <t>B</t>
    <phoneticPr fontId="2" type="noConversion"/>
  </si>
  <si>
    <t>其他</t>
    <phoneticPr fontId="2" type="noConversion"/>
  </si>
  <si>
    <t>MAIL_RADD_ROAD</t>
    <phoneticPr fontId="2" type="noConversion"/>
  </si>
  <si>
    <t>空白文件</t>
    <phoneticPr fontId="2" type="noConversion"/>
  </si>
  <si>
    <t>自備箱袋或
選用便利箱(袋)(包)</t>
    <phoneticPr fontId="2" type="noConversion"/>
  </si>
  <si>
    <t>郵件種類</t>
    <phoneticPr fontId="2" type="noConversion"/>
  </si>
  <si>
    <t>普通掛號信函</t>
    <phoneticPr fontId="2" type="noConversion"/>
  </si>
  <si>
    <t>普通掛號小包</t>
    <phoneticPr fontId="2" type="noConversion"/>
  </si>
  <si>
    <t>限時掛號信函</t>
    <phoneticPr fontId="2" type="noConversion"/>
  </si>
  <si>
    <t>限時掛號小包</t>
    <phoneticPr fontId="2" type="noConversion"/>
  </si>
  <si>
    <t>一般地址</t>
    <phoneticPr fontId="2" type="noConversion"/>
  </si>
  <si>
    <t>郵政信箱</t>
    <phoneticPr fontId="2" type="noConversion"/>
  </si>
  <si>
    <t>存局候領</t>
    <phoneticPr fontId="2" type="noConversion"/>
  </si>
  <si>
    <t>001</t>
    <phoneticPr fontId="2" type="noConversion"/>
  </si>
  <si>
    <t>002</t>
    <phoneticPr fontId="2" type="noConversion"/>
  </si>
  <si>
    <t>003</t>
    <phoneticPr fontId="2" type="noConversion"/>
  </si>
  <si>
    <t>004</t>
    <phoneticPr fontId="2" type="noConversion"/>
  </si>
  <si>
    <t>005</t>
    <phoneticPr fontId="2" type="noConversion"/>
  </si>
  <si>
    <t>地址類別</t>
    <phoneticPr fontId="2" type="noConversion"/>
  </si>
  <si>
    <t>包裝</t>
    <phoneticPr fontId="2" type="noConversion"/>
  </si>
  <si>
    <t>MAIL_PACKAGE_SIZE_NAME</t>
    <phoneticPr fontId="2" type="noConversion"/>
  </si>
  <si>
    <t>MAIL_PACKAGE_SIZE</t>
    <phoneticPr fontId="2" type="noConversion"/>
  </si>
  <si>
    <t>收件
所在縣市</t>
    <phoneticPr fontId="2" type="noConversion"/>
  </si>
  <si>
    <t>收件
鄉鎮市區</t>
    <phoneticPr fontId="2" type="noConversion"/>
  </si>
  <si>
    <t>收件
地址</t>
    <phoneticPr fontId="2" type="noConversion"/>
  </si>
  <si>
    <t>MAIL_CONTRACT_NO</t>
    <phoneticPr fontId="2" type="noConversion"/>
  </si>
  <si>
    <t>MAIL_SNAME</t>
    <phoneticPr fontId="2" type="noConversion"/>
  </si>
  <si>
    <t>MAIL_SADD_CITY</t>
    <phoneticPr fontId="2" type="noConversion"/>
  </si>
  <si>
    <t>MAIL_SADD_AREA</t>
    <phoneticPr fontId="2" type="noConversion"/>
  </si>
  <si>
    <t>MAIL_SADD_OTHER</t>
    <phoneticPr fontId="2" type="noConversion"/>
  </si>
  <si>
    <t>MAIL_SEMAIL</t>
    <phoneticPr fontId="2" type="noConversion"/>
  </si>
  <si>
    <t>寄件人
所在縣市</t>
    <phoneticPr fontId="2" type="noConversion"/>
  </si>
  <si>
    <t>寄件人
鄉鎮市區</t>
    <phoneticPr fontId="2" type="noConversion"/>
  </si>
  <si>
    <t>寄件人
地址</t>
    <phoneticPr fontId="2" type="noConversion"/>
  </si>
  <si>
    <t>MAIL_SPHONE</t>
    <phoneticPr fontId="2" type="noConversion"/>
  </si>
  <si>
    <t>報值
金額</t>
    <phoneticPr fontId="2" type="noConversion"/>
  </si>
  <si>
    <t>寄件人
電子郵件
信箱</t>
    <phoneticPr fontId="2" type="noConversion"/>
  </si>
  <si>
    <t>51.首次_bag1_一般便利袋:31×23×3(cm)</t>
    <phoneticPr fontId="2" type="noConversion"/>
  </si>
  <si>
    <t>52.首次_box2_方型便利箱:23×18×19(cm)</t>
    <phoneticPr fontId="8" type="noConversion"/>
  </si>
  <si>
    <t>53.首次_bag2_寶貝便利袋:29.5x22(cm)</t>
    <phoneticPr fontId="8" type="noConversion"/>
  </si>
  <si>
    <t>54.首次_box3_90公分便利箱:39.5×27.5×23(cm)</t>
    <phoneticPr fontId="8" type="noConversion"/>
  </si>
  <si>
    <t xml:space="preserve">55.首次_box4_長柱型便利箱:10×10×62.5(cm) </t>
    <phoneticPr fontId="8" type="noConversion"/>
  </si>
  <si>
    <t xml:space="preserve">56.首次_box5_小型便利箱:23x14x13(cm) </t>
    <phoneticPr fontId="8" type="noConversion"/>
  </si>
  <si>
    <t>57.首次_box1_長型便利箱:31×22.8×10.3(cm)</t>
    <phoneticPr fontId="8" type="noConversion"/>
  </si>
  <si>
    <t>61.重複_bag1_一般便利袋:31x23x3(cm)</t>
    <phoneticPr fontId="8" type="noConversion"/>
  </si>
  <si>
    <t>62.重複_box2_方型便利箱:23x18x19(cm)</t>
    <phoneticPr fontId="8" type="noConversion"/>
  </si>
  <si>
    <t>63.重複_bag2_寶貝便利袋:29.5x22(cm)</t>
    <phoneticPr fontId="8" type="noConversion"/>
  </si>
  <si>
    <t>64.重複_box3_90公分便利箱:39.5x27.5x23(cm)</t>
    <phoneticPr fontId="8" type="noConversion"/>
  </si>
  <si>
    <t>65.重複_box4_長柱型便利箱:10×10×62.5(cm)</t>
    <phoneticPr fontId="8" type="noConversion"/>
  </si>
  <si>
    <t>66.重複_box5_小型便利箱:23x14x13(cm)</t>
    <phoneticPr fontId="8" type="noConversion"/>
  </si>
  <si>
    <t>67.重複_box1_長型便利箱:31x22.8x10.3(cm)</t>
    <phoneticPr fontId="8" type="noConversion"/>
  </si>
  <si>
    <t>0</t>
    <phoneticPr fontId="2" type="noConversion"/>
  </si>
  <si>
    <t>51</t>
    <phoneticPr fontId="2" type="noConversion"/>
  </si>
  <si>
    <t>52</t>
    <phoneticPr fontId="2" type="noConversion"/>
  </si>
  <si>
    <t>53</t>
    <phoneticPr fontId="2" type="noConversion"/>
  </si>
  <si>
    <t>54</t>
    <phoneticPr fontId="2" type="noConversion"/>
  </si>
  <si>
    <t>55</t>
    <phoneticPr fontId="2" type="noConversion"/>
  </si>
  <si>
    <t>56</t>
    <phoneticPr fontId="2" type="noConversion"/>
  </si>
  <si>
    <t>57</t>
    <phoneticPr fontId="2" type="noConversion"/>
  </si>
  <si>
    <t>61</t>
    <phoneticPr fontId="2" type="noConversion"/>
  </si>
  <si>
    <t>62</t>
    <phoneticPr fontId="2" type="noConversion"/>
  </si>
  <si>
    <t>63</t>
    <phoneticPr fontId="2" type="noConversion"/>
  </si>
  <si>
    <t>64</t>
    <phoneticPr fontId="2" type="noConversion"/>
  </si>
  <si>
    <t>65</t>
    <phoneticPr fontId="2" type="noConversion"/>
  </si>
  <si>
    <t>66</t>
    <phoneticPr fontId="2" type="noConversion"/>
  </si>
  <si>
    <t>67</t>
    <phoneticPr fontId="2" type="noConversion"/>
  </si>
  <si>
    <t>310</t>
    <phoneticPr fontId="2" type="noConversion"/>
  </si>
  <si>
    <t>320</t>
    <phoneticPr fontId="2" type="noConversion"/>
  </si>
  <si>
    <t>311</t>
    <phoneticPr fontId="2" type="noConversion"/>
  </si>
  <si>
    <t>321</t>
    <phoneticPr fontId="2" type="noConversion"/>
  </si>
  <si>
    <t>i郵箱地址</t>
    <phoneticPr fontId="2" type="noConversion"/>
  </si>
  <si>
    <t>軍事特種信箱</t>
    <phoneticPr fontId="2" type="noConversion"/>
  </si>
  <si>
    <t>包材</t>
    <phoneticPr fontId="2" type="noConversion"/>
  </si>
  <si>
    <t>內裝物品種類</t>
    <phoneticPr fontId="2" type="noConversion"/>
  </si>
  <si>
    <t>內裝物品
描述</t>
    <phoneticPr fontId="2" type="noConversion"/>
  </si>
  <si>
    <t>寄件人
姓名</t>
    <phoneticPr fontId="2" type="noConversion"/>
  </si>
  <si>
    <t>寄達地址
類型</t>
    <phoneticPr fontId="2" type="noConversion"/>
  </si>
  <si>
    <t>0.自備箱袋(信封)</t>
    <phoneticPr fontId="2" type="noConversion"/>
  </si>
  <si>
    <t>地區名稱</t>
  </si>
  <si>
    <t>宅配</t>
  </si>
  <si>
    <t>i 郵箱取件</t>
  </si>
  <si>
    <t>/自郵領件</t>
  </si>
  <si>
    <t>備註</t>
  </si>
  <si>
    <t>※國內包裹可指定ｉ郵箱為收件地址，限重20公斤，單邊最大尺寸不逾45公分、長寬高合計不逾105公分。</t>
  </si>
  <si>
    <t>其他包裹業務說明(業務說明、郵遞時效)請按此</t>
    <phoneticPr fontId="2" type="noConversion"/>
  </si>
  <si>
    <t>收件道路
/街名/村里</t>
    <phoneticPr fontId="2" type="noConversion"/>
  </si>
  <si>
    <t>寄件人
電話</t>
    <phoneticPr fontId="2" type="noConversion"/>
  </si>
  <si>
    <t>包裹
總長
(cm)</t>
    <phoneticPr fontId="2" type="noConversion"/>
  </si>
  <si>
    <t>寄件人
合約(特約)編號</t>
    <phoneticPr fontId="2" type="noConversion"/>
  </si>
  <si>
    <t>MAIL_RADD_TYPE_NAME</t>
    <phoneticPr fontId="2" type="noConversion"/>
  </si>
  <si>
    <t>MAIL_RPHONE</t>
    <phoneticPr fontId="2" type="noConversion"/>
  </si>
  <si>
    <t>VALUE_DECLARED_AMOUNT</t>
    <phoneticPr fontId="2" type="noConversion"/>
  </si>
  <si>
    <t>MAIL_WEIGHT_TOTAL</t>
    <phoneticPr fontId="2" type="noConversion"/>
  </si>
  <si>
    <t>MAIL_LENGTH_TOTAL</t>
    <phoneticPr fontId="2" type="noConversion"/>
  </si>
  <si>
    <t>MAIL_CONTENTS</t>
    <phoneticPr fontId="2" type="noConversion"/>
  </si>
  <si>
    <t>MAIL_CONTENTS_NAME</t>
    <phoneticPr fontId="2" type="noConversion"/>
  </si>
  <si>
    <t>MAIL_UNDELIVER_OPTNO_NAME</t>
    <phoneticPr fontId="2" type="noConversion"/>
  </si>
  <si>
    <t>內裝物品代碼</t>
    <phoneticPr fontId="2" type="noConversion"/>
  </si>
  <si>
    <t>內裝物</t>
    <phoneticPr fontId="2" type="noConversion"/>
  </si>
  <si>
    <t>MAIL_CONTENTS_NO</t>
    <phoneticPr fontId="2" type="noConversion"/>
  </si>
  <si>
    <t>MAIL_CONTENTS_ALL</t>
    <phoneticPr fontId="2" type="noConversion"/>
  </si>
  <si>
    <t>MAIL_UNDELIVER_OPTNO</t>
    <phoneticPr fontId="2" type="noConversion"/>
  </si>
  <si>
    <t>國內包裹資費表</t>
  </si>
  <si>
    <t>最後更新日期：109/12/01</t>
  </si>
  <si>
    <t>重量</t>
  </si>
  <si>
    <t>1.台灣本島同縣市內互寄
2.台北市、新北市與基隆間互寄
3.各外島島內互寄</t>
  </si>
  <si>
    <t>台灣本島不同縣市（包含南沙地區、東沙地區）互寄</t>
  </si>
  <si>
    <t>台灣本島、澎湖地區、金門地區、馬祖地區、東引地區、烏坵地區、綠島地區、蘭嶼地區、琉球地區間互寄</t>
  </si>
  <si>
    <t>不逾5公斤</t>
  </si>
  <si>
    <t>逾5公斤
不逾10公斤</t>
  </si>
  <si>
    <t>逾10公斤
不逾15公斤</t>
  </si>
  <si>
    <t>逾15公斤
不逾20公斤</t>
  </si>
  <si>
    <t>郵局便利箱(袋)</t>
  </si>
  <si>
    <t>最後更新日期：110/3/24</t>
  </si>
  <si>
    <t>香山區</t>
    <phoneticPr fontId="2" type="noConversion"/>
  </si>
  <si>
    <t>version</t>
    <phoneticPr fontId="2" type="noConversion"/>
  </si>
  <si>
    <t>收件地址</t>
    <phoneticPr fontId="2" type="noConversion"/>
  </si>
  <si>
    <t>寄件人地址</t>
    <phoneticPr fontId="2" type="noConversion"/>
  </si>
  <si>
    <r>
      <t>填寫說明:
1.表頭以</t>
    </r>
    <r>
      <rPr>
        <sz val="12"/>
        <color indexed="10"/>
        <rFont val="微軟正黑體"/>
        <family val="2"/>
        <charset val="136"/>
      </rPr>
      <t>紅色字體代表必填欄位</t>
    </r>
    <r>
      <rPr>
        <sz val="12"/>
        <rFont val="微軟正黑體"/>
        <family val="2"/>
        <charset val="136"/>
      </rPr>
      <t xml:space="preserve">，黑色字體為選填欄位，另「編號」欄位免填寫(系統自動填入)。
</t>
    </r>
    <r>
      <rPr>
        <sz val="12"/>
        <color indexed="10"/>
        <rFont val="微軟正黑體"/>
        <family val="2"/>
        <charset val="136"/>
      </rPr>
      <t>2.包裹總長(長寬高三邊)合計不得大於150公分，每件限重不逾20公斤。</t>
    </r>
    <r>
      <rPr>
        <sz val="12"/>
        <rFont val="微軟正黑體"/>
        <family val="2"/>
        <charset val="136"/>
      </rPr>
      <t xml:space="preserve">
3.倘欲寄至 i 郵箱取件，因受儲格大小限制，單邊最大尺寸不得逾45公分，長寬高合計不得逾105公分，另收件人電話應留存手機號碼，切勿填寫報值金額(報值郵件無法寄至 i 郵箱)。
4.包裹退回或改寄者，應另付資費。
5.報值郵件除包裹普通資費外，另加報值費：每千元或其畸零數加收報值費4元，報值最高額50,000元
6.相關資費資訊請參閱其他分頁說明，更多資訊(如國內包裹業務說明)請至本公司全球資訊網https://www.post.gov.tw/查詢
7.寄往臺中市和平區梨山里、平等里與南投縣仁愛鄉翠華村華岡等地區包裹，每件重量以不逾20公斤且長寬高合計亦不超過120公分為限。
</t>
    </r>
    <r>
      <rPr>
        <sz val="12"/>
        <color indexed="10"/>
        <rFont val="微軟正黑體"/>
        <family val="2"/>
        <charset val="136"/>
      </rPr>
      <t>8.寄達地址類型若為「i郵箱地址」，請於「收件地址」完整填寫i郵箱地址及名稱，相關格式範例如「臺北市大安區信義路三段89號臺北大安郵局i郵箱」；或至少填寫i郵箱所在縣市、鄉鎮區域及名稱，相關格式範例如「臺北市大安區臺北大安郵局i郵箱」。</t>
    </r>
    <phoneticPr fontId="2" type="noConversion"/>
  </si>
  <si>
    <t>MAIL_TYPE</t>
    <phoneticPr fontId="2" type="noConversion"/>
  </si>
  <si>
    <t>MAIL_TYPE</t>
    <phoneticPr fontId="16" type="noConversion"/>
  </si>
  <si>
    <t>mailType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</si>
</sst>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.000_ "/>
    <numFmt numFmtId="179" formatCode="0.0_ "/>
    <numFmt numFmtId="180" formatCode="0.0_);[Red]\(0.0\)"/>
  </numFmts>
  <fonts count="27"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57"/>
      <name val="細明體"/>
      <family val="3"/>
      <charset val="136"/>
    </font>
    <font>
      <sz val="9"/>
      <name val="新細明體"/>
      <family val="1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b/>
      <u/>
      <sz val="16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theme="1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0"/>
      <name val="新細明體"/>
      <family val="1"/>
      <charset val="136"/>
    </font>
    <font>
      <sz val="12"/>
      <color rgb="FF434343"/>
      <name val="微軟正黑體"/>
      <family val="2"/>
      <charset val="136"/>
    </font>
    <font>
      <sz val="11"/>
      <color rgb="FF434343"/>
      <name val="微軟正黑體"/>
      <family val="2"/>
      <charset val="136"/>
    </font>
    <font>
      <sz val="7"/>
      <color rgb="FF434343"/>
      <name val="微軟正黑體"/>
      <family val="2"/>
      <charset val="136"/>
    </font>
    <font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4AFA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CB02A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 style="medium">
        <color rgb="FFADF4AA"/>
      </right>
      <top/>
      <bottom/>
      <diagonal/>
    </border>
    <border>
      <left/>
      <right style="medium">
        <color rgb="FFADF4AA"/>
      </right>
      <top/>
      <bottom style="medium">
        <color rgb="FFADF4AA"/>
      </bottom>
      <diagonal/>
    </border>
    <border>
      <left/>
      <right style="medium">
        <color rgb="FFE3E3E3"/>
      </right>
      <top/>
      <bottom/>
      <diagonal/>
    </border>
    <border>
      <left/>
      <right style="medium">
        <color rgb="FFE3E3E3"/>
      </right>
      <top/>
      <bottom style="medium">
        <color rgb="FFADF4AA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ADF4AA"/>
      </left>
      <right style="medium">
        <color rgb="FFADF4AA"/>
      </right>
      <top style="medium">
        <color rgb="FFADF4AA"/>
      </top>
      <bottom/>
      <diagonal/>
    </border>
    <border>
      <left style="medium">
        <color rgb="FFADF4AA"/>
      </left>
      <right style="medium">
        <color rgb="FFADF4AA"/>
      </right>
      <top/>
      <bottom style="medium">
        <color rgb="FFADF4AA"/>
      </bottom>
      <diagonal/>
    </border>
    <border>
      <left style="medium">
        <color rgb="FFE3E3E3"/>
      </left>
      <right style="medium">
        <color rgb="FFADF4AA"/>
      </right>
      <top style="medium">
        <color rgb="FFE3E3E3"/>
      </top>
      <bottom/>
      <diagonal/>
    </border>
    <border>
      <left style="medium">
        <color rgb="FFE3E3E3"/>
      </left>
      <right style="medium">
        <color rgb="FFADF4AA"/>
      </right>
      <top/>
      <bottom/>
      <diagonal/>
    </border>
    <border>
      <left style="medium">
        <color rgb="FFE3E3E3"/>
      </left>
      <right style="medium">
        <color rgb="FFADF4AA"/>
      </right>
      <top/>
      <bottom style="medium">
        <color rgb="FFADF4AA"/>
      </bottom>
      <diagonal/>
    </border>
    <border>
      <left style="medium">
        <color rgb="FFADF4AA"/>
      </left>
      <right/>
      <top style="medium">
        <color rgb="FFE3E3E3"/>
      </top>
      <bottom style="medium">
        <color rgb="FFADF4AA"/>
      </bottom>
      <diagonal/>
    </border>
    <border>
      <left/>
      <right/>
      <top style="medium">
        <color rgb="FFE3E3E3"/>
      </top>
      <bottom style="medium">
        <color rgb="FFADF4AA"/>
      </bottom>
      <diagonal/>
    </border>
    <border>
      <left/>
      <right style="medium">
        <color rgb="FFE3E3E3"/>
      </right>
      <top style="medium">
        <color rgb="FFE3E3E3"/>
      </top>
      <bottom style="medium">
        <color rgb="FFADF4AA"/>
      </bottom>
      <diagonal/>
    </border>
    <border>
      <left/>
      <right/>
      <top/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 style="medium">
        <color rgb="FFADF4AA"/>
      </left>
      <right/>
      <top style="medium">
        <color rgb="FFADF4AA"/>
      </top>
      <bottom/>
      <diagonal/>
    </border>
    <border>
      <left/>
      <right style="medium">
        <color rgb="FFADF4AA"/>
      </right>
      <top style="medium">
        <color rgb="FFADF4AA"/>
      </top>
      <bottom/>
      <diagonal/>
    </border>
    <border>
      <left style="medium">
        <color rgb="FFADF4AA"/>
      </left>
      <right/>
      <top/>
      <bottom/>
      <diagonal/>
    </border>
    <border>
      <left style="medium">
        <color rgb="FFADF4AA"/>
      </left>
      <right/>
      <top/>
      <bottom style="medium">
        <color rgb="FFADF4AA"/>
      </bottom>
      <diagonal/>
    </border>
    <border>
      <left/>
      <right style="medium">
        <color rgb="FFE3E3E3"/>
      </right>
      <top style="medium">
        <color rgb="FFADF4AA"/>
      </top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49" fontId="0" fillId="0" borderId="2" xfId="0" applyNumberFormat="1" applyBorder="1" applyProtection="1">
      <alignment vertical="center"/>
      <protection locked="0"/>
    </xf>
    <xf numFmtId="49" fontId="0" fillId="0" borderId="3" xfId="0" applyNumberFormat="1" applyBorder="1" applyProtection="1">
      <alignment vertical="center"/>
      <protection locked="0"/>
    </xf>
    <xf numFmtId="49" fontId="0" fillId="0" borderId="4" xfId="0" applyNumberFormat="1" applyBorder="1" applyProtection="1">
      <alignment vertical="center"/>
      <protection locked="0"/>
    </xf>
    <xf numFmtId="49" fontId="0" fillId="0" borderId="5" xfId="0" applyNumberFormat="1" applyBorder="1" applyProtection="1">
      <alignment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49" fontId="0" fillId="0" borderId="8" xfId="0" applyNumberFormat="1" applyBorder="1" applyProtection="1">
      <alignment vertical="center"/>
      <protection locked="0"/>
    </xf>
    <xf numFmtId="49" fontId="0" fillId="0" borderId="9" xfId="0" applyNumberFormat="1" applyBorder="1" applyProtection="1">
      <alignment vertical="center"/>
      <protection locked="0"/>
    </xf>
    <xf numFmtId="49" fontId="0" fillId="0" borderId="10" xfId="0" applyNumberFormat="1" applyBorder="1" applyProtection="1">
      <alignment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176" fontId="0" fillId="0" borderId="10" xfId="0" applyNumberFormat="1" applyBorder="1" applyProtection="1">
      <alignment vertical="center"/>
      <protection locked="0"/>
    </xf>
    <xf numFmtId="0" fontId="20" fillId="4" borderId="12" xfId="0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0" fillId="2" borderId="12" xfId="0" applyNumberForma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>
      <alignment vertical="center"/>
    </xf>
    <xf numFmtId="49" fontId="0" fillId="0" borderId="15" xfId="0" applyNumberFormat="1" applyBorder="1" applyProtection="1">
      <alignment vertical="center"/>
      <protection locked="0"/>
    </xf>
    <xf numFmtId="176" fontId="0" fillId="0" borderId="6" xfId="0" applyNumberFormat="1" applyBorder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176" fontId="18" fillId="2" borderId="13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4" borderId="16" xfId="0" applyFont="1" applyFill="1" applyBorder="1">
      <alignment vertical="center"/>
    </xf>
    <xf numFmtId="0" fontId="4" fillId="0" borderId="17" xfId="0" applyFont="1" applyBorder="1">
      <alignment vertical="center"/>
    </xf>
    <xf numFmtId="49" fontId="0" fillId="0" borderId="17" xfId="0" applyNumberFormat="1" applyBorder="1">
      <alignment vertical="center"/>
    </xf>
    <xf numFmtId="178" fontId="0" fillId="0" borderId="17" xfId="0" applyNumberFormat="1" applyBorder="1">
      <alignment vertical="center"/>
    </xf>
    <xf numFmtId="176" fontId="0" fillId="0" borderId="17" xfId="0" applyNumberFormat="1" applyBorder="1">
      <alignment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7" xfId="0" applyBorder="1">
      <alignment vertical="center"/>
    </xf>
    <xf numFmtId="49" fontId="1" fillId="2" borderId="18" xfId="0" applyNumberFormat="1" applyFont="1" applyFill="1" applyBorder="1" applyAlignment="1">
      <alignment horizontal="center" vertical="center" wrapText="1"/>
    </xf>
    <xf numFmtId="178" fontId="18" fillId="2" borderId="13" xfId="0" applyNumberFormat="1" applyFont="1" applyFill="1" applyBorder="1" applyAlignment="1">
      <alignment horizontal="center" vertical="center" wrapText="1"/>
    </xf>
    <xf numFmtId="0" fontId="22" fillId="5" borderId="37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76" fontId="3" fillId="2" borderId="19" xfId="0" applyNumberFormat="1" applyFont="1" applyFill="1" applyBorder="1" applyAlignment="1">
      <alignment horizontal="center" vertical="center" wrapText="1"/>
    </xf>
    <xf numFmtId="177" fontId="0" fillId="0" borderId="20" xfId="0" applyNumberFormat="1" applyBorder="1" applyProtection="1">
      <alignment vertical="center"/>
      <protection locked="0"/>
    </xf>
    <xf numFmtId="177" fontId="0" fillId="0" borderId="21" xfId="0" applyNumberFormat="1" applyBorder="1" applyProtection="1">
      <alignment vertical="center"/>
      <protection locked="0"/>
    </xf>
    <xf numFmtId="177" fontId="0" fillId="0" borderId="22" xfId="0" applyNumberFormat="1" applyBorder="1" applyProtection="1">
      <alignment vertical="center"/>
      <protection locked="0"/>
    </xf>
    <xf numFmtId="49" fontId="0" fillId="0" borderId="16" xfId="0" applyNumberFormat="1" applyBorder="1" applyProtection="1">
      <alignment vertical="center"/>
      <protection locked="0"/>
    </xf>
    <xf numFmtId="49" fontId="18" fillId="2" borderId="12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80" fontId="0" fillId="0" borderId="10" xfId="0" applyNumberFormat="1" applyBorder="1" applyProtection="1">
      <alignment vertical="center"/>
      <protection locked="0"/>
    </xf>
    <xf numFmtId="180" fontId="0" fillId="0" borderId="1" xfId="0" applyNumberFormat="1" applyBorder="1" applyProtection="1">
      <alignment vertical="center"/>
      <protection locked="0"/>
    </xf>
    <xf numFmtId="180" fontId="0" fillId="0" borderId="23" xfId="0" applyNumberFormat="1" applyBorder="1" applyProtection="1">
      <alignment vertical="center"/>
      <protection locked="0"/>
    </xf>
    <xf numFmtId="177" fontId="0" fillId="0" borderId="8" xfId="0" applyNumberFormat="1" applyBorder="1" applyProtection="1">
      <alignment vertical="center"/>
      <protection locked="0"/>
    </xf>
    <xf numFmtId="177" fontId="0" fillId="0" borderId="2" xfId="0" applyNumberFormat="1" applyBorder="1" applyProtection="1">
      <alignment vertical="center"/>
      <protection locked="0"/>
    </xf>
    <xf numFmtId="177" fontId="0" fillId="0" borderId="2" xfId="0" applyNumberFormat="1" applyBorder="1" applyAlignment="1" applyProtection="1">
      <alignment vertical="center" wrapText="1"/>
      <protection locked="0"/>
    </xf>
    <xf numFmtId="177" fontId="0" fillId="0" borderId="15" xfId="0" applyNumberFormat="1" applyBorder="1" applyProtection="1">
      <alignment vertical="center"/>
      <protection locked="0"/>
    </xf>
    <xf numFmtId="179" fontId="0" fillId="0" borderId="10" xfId="0" applyNumberFormat="1" applyBorder="1" applyProtection="1">
      <alignment vertical="center"/>
      <protection locked="0"/>
    </xf>
    <xf numFmtId="179" fontId="0" fillId="0" borderId="1" xfId="0" applyNumberFormat="1" applyBorder="1" applyProtection="1">
      <alignment vertical="center"/>
      <protection locked="0"/>
    </xf>
    <xf numFmtId="179" fontId="0" fillId="0" borderId="6" xfId="0" applyNumberFormat="1" applyBorder="1" applyProtection="1">
      <alignment vertical="center"/>
      <protection locked="0"/>
    </xf>
    <xf numFmtId="0" fontId="24" fillId="8" borderId="38" xfId="0" applyFont="1" applyFill="1" applyBorder="1" applyAlignment="1">
      <alignment horizontal="center" vertical="center"/>
    </xf>
    <xf numFmtId="0" fontId="24" fillId="8" borderId="39" xfId="0" applyFont="1" applyFill="1" applyBorder="1" applyAlignment="1">
      <alignment horizontal="center" vertical="center"/>
    </xf>
    <xf numFmtId="0" fontId="22" fillId="9" borderId="37" xfId="0" applyFont="1" applyFill="1" applyBorder="1" applyAlignment="1">
      <alignment horizontal="center" vertical="center"/>
    </xf>
    <xf numFmtId="0" fontId="22" fillId="10" borderId="37" xfId="0" applyFont="1" applyFill="1" applyBorder="1" applyAlignment="1">
      <alignment horizontal="center" vertical="center" wrapText="1"/>
    </xf>
    <xf numFmtId="0" fontId="24" fillId="8" borderId="40" xfId="0" applyFont="1" applyFill="1" applyBorder="1" applyAlignment="1">
      <alignment horizontal="center" vertical="center"/>
    </xf>
    <xf numFmtId="0" fontId="24" fillId="8" borderId="41" xfId="0" applyFont="1" applyFill="1" applyBorder="1" applyAlignment="1">
      <alignment horizontal="center" vertical="center"/>
    </xf>
    <xf numFmtId="0" fontId="22" fillId="10" borderId="42" xfId="0" applyFont="1" applyFill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7" borderId="27" xfId="0" applyFont="1" applyFill="1" applyBorder="1" applyAlignment="1">
      <alignment horizontal="left" vertical="center" wrapText="1"/>
    </xf>
    <xf numFmtId="0" fontId="12" fillId="7" borderId="28" xfId="0" applyFont="1" applyFill="1" applyBorder="1" applyAlignment="1">
      <alignment horizontal="left" vertical="center" wrapText="1"/>
    </xf>
    <xf numFmtId="0" fontId="12" fillId="7" borderId="24" xfId="0" applyFont="1" applyFill="1" applyBorder="1" applyAlignment="1">
      <alignment horizontal="left" vertical="center" wrapText="1"/>
    </xf>
    <xf numFmtId="49" fontId="0" fillId="0" borderId="15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30" xfId="0" applyNumberFormat="1" applyBorder="1" applyAlignment="1" applyProtection="1">
      <alignment horizontal="left" vertical="center"/>
      <protection locked="0"/>
    </xf>
    <xf numFmtId="49" fontId="0" fillId="0" borderId="31" xfId="0" applyNumberFormat="1" applyBorder="1" applyAlignment="1" applyProtection="1">
      <alignment horizontal="left" vertical="center"/>
      <protection locked="0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3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Protection="1">
      <alignment vertical="center"/>
      <protection locked="0"/>
    </xf>
    <xf numFmtId="49" fontId="0" fillId="0" borderId="30" xfId="0" applyNumberFormat="1" applyBorder="1" applyProtection="1">
      <alignment vertical="center"/>
      <protection locked="0"/>
    </xf>
    <xf numFmtId="49" fontId="0" fillId="0" borderId="25" xfId="0" applyNumberFormat="1" applyBorder="1" applyProtection="1">
      <alignment vertical="center"/>
      <protection locked="0"/>
    </xf>
    <xf numFmtId="49" fontId="0" fillId="0" borderId="15" xfId="0" applyNumberFormat="1" applyBorder="1" applyProtection="1">
      <alignment vertical="center"/>
      <protection locked="0"/>
    </xf>
    <xf numFmtId="49" fontId="0" fillId="0" borderId="29" xfId="0" applyNumberFormat="1" applyBorder="1" applyProtection="1">
      <alignment vertical="center"/>
      <protection locked="0"/>
    </xf>
    <xf numFmtId="49" fontId="0" fillId="0" borderId="26" xfId="0" applyNumberFormat="1" applyBorder="1" applyProtection="1">
      <alignment vertical="center"/>
      <protection locked="0"/>
    </xf>
    <xf numFmtId="49" fontId="0" fillId="0" borderId="33" xfId="0" applyNumberFormat="1" applyBorder="1" applyProtection="1">
      <alignment vertical="center"/>
      <protection locked="0"/>
    </xf>
    <xf numFmtId="49" fontId="0" fillId="0" borderId="34" xfId="0" applyNumberFormat="1" applyBorder="1" applyProtection="1">
      <alignment vertical="center"/>
      <protection locked="0"/>
    </xf>
    <xf numFmtId="49" fontId="0" fillId="0" borderId="35" xfId="0" applyNumberFormat="1" applyBorder="1" applyProtection="1">
      <alignment vertical="center"/>
      <protection locked="0"/>
    </xf>
    <xf numFmtId="49" fontId="3" fillId="2" borderId="24" xfId="0" applyNumberFormat="1" applyFont="1" applyFill="1" applyBorder="1" applyAlignment="1">
      <alignment horizontal="center" vertical="center" wrapText="1"/>
    </xf>
    <xf numFmtId="49" fontId="0" fillId="0" borderId="33" xfId="0" applyNumberFormat="1" applyBorder="1" applyAlignment="1" applyProtection="1">
      <alignment horizontal="left" vertical="center"/>
      <protection locked="0"/>
    </xf>
    <xf numFmtId="49" fontId="0" fillId="0" borderId="34" xfId="0" applyNumberFormat="1" applyBorder="1" applyAlignment="1" applyProtection="1">
      <alignment horizontal="left" vertical="center"/>
      <protection locked="0"/>
    </xf>
    <xf numFmtId="49" fontId="0" fillId="0" borderId="36" xfId="0" applyNumberFormat="1" applyBorder="1" applyAlignment="1" applyProtection="1">
      <alignment horizontal="left" vertical="center"/>
      <protection locked="0"/>
    </xf>
    <xf numFmtId="49" fontId="0" fillId="0" borderId="25" xfId="0" applyNumberFormat="1" applyBorder="1" applyAlignment="1" applyProtection="1">
      <alignment horizontal="left" vertical="center"/>
      <protection locked="0"/>
    </xf>
    <xf numFmtId="0" fontId="14" fillId="0" borderId="0" xfId="1" applyFont="1" applyAlignment="1">
      <alignment horizontal="center" vertical="center"/>
    </xf>
    <xf numFmtId="0" fontId="24" fillId="8" borderId="45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horizontal="center" vertical="center" wrapText="1"/>
    </xf>
    <xf numFmtId="0" fontId="24" fillId="8" borderId="47" xfId="0" applyFont="1" applyFill="1" applyBorder="1" applyAlignment="1">
      <alignment horizontal="center" vertical="center" wrapText="1"/>
    </xf>
    <xf numFmtId="0" fontId="24" fillId="8" borderId="48" xfId="0" applyFont="1" applyFill="1" applyBorder="1" applyAlignment="1">
      <alignment horizontal="center" vertical="center" wrapText="1"/>
    </xf>
    <xf numFmtId="0" fontId="24" fillId="8" borderId="49" xfId="0" applyFont="1" applyFill="1" applyBorder="1" applyAlignment="1">
      <alignment horizontal="center" vertical="center" wrapText="1"/>
    </xf>
    <xf numFmtId="0" fontId="24" fillId="8" borderId="50" xfId="0" applyFont="1" applyFill="1" applyBorder="1" applyAlignment="1">
      <alignment horizontal="center" vertical="center" wrapText="1"/>
    </xf>
    <xf numFmtId="0" fontId="14" fillId="0" borderId="51" xfId="1" applyFont="1" applyBorder="1" applyAlignment="1">
      <alignment horizontal="center" vertical="center"/>
    </xf>
    <xf numFmtId="0" fontId="25" fillId="0" borderId="52" xfId="0" applyFont="1" applyBorder="1" applyAlignment="1">
      <alignment horizontal="right" vertical="center"/>
    </xf>
    <xf numFmtId="0" fontId="26" fillId="0" borderId="52" xfId="0" applyFont="1" applyBorder="1" applyAlignment="1">
      <alignment horizontal="right" vertical="center"/>
    </xf>
    <xf numFmtId="0" fontId="24" fillId="8" borderId="53" xfId="0" applyFont="1" applyFill="1" applyBorder="1" applyAlignment="1">
      <alignment horizontal="left" vertical="center" wrapText="1"/>
    </xf>
    <xf numFmtId="0" fontId="24" fillId="8" borderId="54" xfId="0" applyFont="1" applyFill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4" fillId="8" borderId="54" xfId="0" applyFont="1" applyFill="1" applyBorder="1" applyAlignment="1">
      <alignment horizontal="left" vertical="center" wrapText="1"/>
    </xf>
    <xf numFmtId="0" fontId="24" fillId="8" borderId="55" xfId="0" applyFont="1" applyFill="1" applyBorder="1" applyAlignment="1">
      <alignment horizontal="left" vertical="center" wrapText="1"/>
    </xf>
    <xf numFmtId="0" fontId="24" fillId="8" borderId="38" xfId="0" applyFont="1" applyFill="1" applyBorder="1" applyAlignment="1">
      <alignment horizontal="left" vertical="center" wrapText="1"/>
    </xf>
    <xf numFmtId="0" fontId="24" fillId="8" borderId="56" xfId="0" applyFont="1" applyFill="1" applyBorder="1" applyAlignment="1">
      <alignment horizontal="left" vertical="center" wrapText="1"/>
    </xf>
    <xf numFmtId="0" fontId="24" fillId="8" borderId="39" xfId="0" applyFont="1" applyFill="1" applyBorder="1" applyAlignment="1">
      <alignment horizontal="left" vertical="center" wrapText="1"/>
    </xf>
    <xf numFmtId="0" fontId="24" fillId="8" borderId="57" xfId="0" applyFont="1" applyFill="1" applyBorder="1" applyAlignment="1">
      <alignment horizontal="left" vertical="center" wrapText="1"/>
    </xf>
    <xf numFmtId="0" fontId="24" fillId="8" borderId="40" xfId="0" applyFont="1" applyFill="1" applyBorder="1" applyAlignment="1">
      <alignment horizontal="left" vertical="center" wrapText="1"/>
    </xf>
    <xf numFmtId="0" fontId="24" fillId="8" borderId="41" xfId="0" applyFont="1" applyFill="1" applyBorder="1" applyAlignment="1">
      <alignment horizontal="left" vertical="center" wrapText="1"/>
    </xf>
    <xf numFmtId="0" fontId="24" fillId="8" borderId="43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2" fillId="10" borderId="58" xfId="0" applyFont="1" applyFill="1" applyBorder="1" applyAlignment="1">
      <alignment vertical="center" wrapText="1"/>
    </xf>
    <xf numFmtId="0" fontId="22" fillId="10" borderId="52" xfId="0" applyFont="1" applyFill="1" applyBorder="1" applyAlignment="1">
      <alignment vertical="center" wrapText="1"/>
    </xf>
    <xf numFmtId="0" fontId="22" fillId="10" borderId="59" xfId="0" applyFont="1" applyFill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6</xdr:col>
      <xdr:colOff>1047750</xdr:colOff>
      <xdr:row>55</xdr:row>
      <xdr:rowOff>196850</xdr:rowOff>
    </xdr:to>
    <xdr:pic>
      <xdr:nvPicPr>
        <xdr:cNvPr id="4392" name="圖片 1">
          <a:extLst>
            <a:ext uri="{FF2B5EF4-FFF2-40B4-BE49-F238E27FC236}">
              <a16:creationId xmlns:a16="http://schemas.microsoft.com/office/drawing/2014/main" id="{C6C50E94-01EE-62DE-222E-CDBC63447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5100"/>
          <a:ext cx="6584950" cy="861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ost.gov.tw/post/internet/box/index.jsp?ID=1363572652086" TargetMode="External"/><Relationship Id="rId2" Type="http://schemas.openxmlformats.org/officeDocument/2006/relationships/hyperlink" Target="http://www.post.gov.tw/post/internet/Postal/index.jsp?ID=2030103" TargetMode="External"/><Relationship Id="rId1" Type="http://schemas.openxmlformats.org/officeDocument/2006/relationships/hyperlink" Target="http://www.post.gov.tw/post/internet/Postal/index.jsp?ID=2030101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FE2F-712C-477F-BB05-DF794A001385}">
  <sheetPr>
    <pageSetUpPr fitToPage="1"/>
  </sheetPr>
  <dimension ref="A1:AD206"/>
  <sheetViews>
    <sheetView tabSelected="1" zoomScale="85" zoomScaleNormal="85" workbookViewId="0">
      <pane ySplit="4" topLeftCell="A5" activePane="bottomLeft" state="frozen"/>
      <selection activeCell="A2" sqref="A2"/>
      <selection pane="bottomLeft" activeCell="B5" sqref="B5"/>
    </sheetView>
  </sheetViews>
  <sheetFormatPr defaultColWidth="9" defaultRowHeight="16.5" zeroHeight="1"/>
  <cols>
    <col min="1" max="1" width="5.5" customWidth="1"/>
    <col min="2" max="2" width="13.125" customWidth="1"/>
    <col min="3" max="3" width="12.625" customWidth="1"/>
    <col min="4" max="4" width="9.875" customWidth="1"/>
    <col min="5" max="5" width="9.375" customWidth="1"/>
    <col min="6" max="6" width="9.5" customWidth="1"/>
    <col min="7" max="7" width="13.125" customWidth="1"/>
    <col min="8" max="8" width="21.375" customWidth="1"/>
    <col min="9" max="9" width="16.125" customWidth="1"/>
    <col min="10" max="10" width="11.625" customWidth="1"/>
    <col min="11" max="11" width="10.5" customWidth="1"/>
    <col min="12" max="12" width="11.125" customWidth="1"/>
    <col min="13" max="13" width="9.5" customWidth="1"/>
    <col min="14" max="14" width="17.875" customWidth="1"/>
    <col min="15" max="15" width="18.125" customWidth="1"/>
    <col min="16" max="16" width="9" customWidth="1"/>
    <col min="17" max="17" width="9.125" style="36" customWidth="1"/>
    <col min="18" max="18" width="7.125" customWidth="1"/>
    <col min="19" max="19" width="23" customWidth="1"/>
    <col min="20" max="20" width="8.875" customWidth="1"/>
    <col min="21" max="21" width="9.125" customWidth="1"/>
    <col min="22" max="22" width="25.125" customWidth="1"/>
    <col min="23" max="25" width="25.125" hidden="1" customWidth="1"/>
    <col min="26" max="26" width="16.125" hidden="1" customWidth="1"/>
    <col min="27" max="27" width="22.125" hidden="1" customWidth="1"/>
    <col min="28" max="28" width="9" hidden="1" customWidth="1"/>
    <col min="29" max="29" width="6.25" hidden="1" customWidth="1"/>
    <col min="30" max="30" width="5.5" hidden="1" customWidth="1"/>
  </cols>
  <sheetData>
    <row r="1" spans="1:30" s="2" customFormat="1" ht="42" hidden="1" customHeight="1" thickBot="1">
      <c r="A1" s="39" t="s">
        <v>7</v>
      </c>
      <c r="B1" s="40" t="s">
        <v>408</v>
      </c>
      <c r="C1" s="40" t="s">
        <v>889</v>
      </c>
      <c r="D1" s="40" t="s">
        <v>888</v>
      </c>
      <c r="E1" s="40" t="s">
        <v>409</v>
      </c>
      <c r="F1" s="40" t="s">
        <v>410</v>
      </c>
      <c r="G1" s="40" t="s">
        <v>801</v>
      </c>
      <c r="H1" s="40" t="s">
        <v>797</v>
      </c>
      <c r="I1" s="40" t="s">
        <v>824</v>
      </c>
      <c r="J1" s="40" t="s">
        <v>825</v>
      </c>
      <c r="K1" s="40" t="s">
        <v>833</v>
      </c>
      <c r="L1" s="40" t="s">
        <v>826</v>
      </c>
      <c r="M1" s="40" t="s">
        <v>827</v>
      </c>
      <c r="N1" s="40" t="s">
        <v>828</v>
      </c>
      <c r="O1" s="40" t="s">
        <v>829</v>
      </c>
      <c r="P1" s="41" t="s">
        <v>894</v>
      </c>
      <c r="Q1" s="42" t="s">
        <v>893</v>
      </c>
      <c r="R1" s="40" t="s">
        <v>891</v>
      </c>
      <c r="S1" s="45" t="s">
        <v>819</v>
      </c>
      <c r="T1" s="2" t="s">
        <v>892</v>
      </c>
      <c r="U1" s="40" t="s">
        <v>890</v>
      </c>
      <c r="V1" s="2" t="s">
        <v>895</v>
      </c>
      <c r="W1" s="1" t="s">
        <v>898</v>
      </c>
      <c r="X1" s="1" t="s">
        <v>899</v>
      </c>
      <c r="Y1" s="2" t="s">
        <v>900</v>
      </c>
      <c r="Z1" s="45" t="s">
        <v>411</v>
      </c>
      <c r="AA1" s="45" t="s">
        <v>796</v>
      </c>
      <c r="AB1" s="2" t="s">
        <v>795</v>
      </c>
      <c r="AC1" s="2" t="s">
        <v>820</v>
      </c>
      <c r="AD1" s="2" t="s">
        <v>918</v>
      </c>
    </row>
    <row r="2" spans="1:30" s="2" customFormat="1" ht="144.94999999999999" customHeight="1" thickBot="1">
      <c r="A2" s="78" t="s">
        <v>917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80"/>
      <c r="Z2" s="45"/>
      <c r="AA2" s="45"/>
    </row>
    <row r="3" spans="1:30" s="2" customFormat="1" ht="11.1" customHeight="1" thickBo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6"/>
      <c r="P3" s="6"/>
      <c r="Q3" s="36"/>
      <c r="R3" s="37"/>
      <c r="S3" s="6"/>
      <c r="T3" s="6"/>
      <c r="U3"/>
      <c r="V3"/>
      <c r="W3"/>
      <c r="X3"/>
      <c r="Y3"/>
      <c r="Z3" s="1"/>
    </row>
    <row r="4" spans="1:30" s="3" customFormat="1" ht="70.5" customHeight="1" thickBot="1">
      <c r="A4" s="24" t="s">
        <v>5</v>
      </c>
      <c r="B4" s="25" t="s">
        <v>6</v>
      </c>
      <c r="C4" s="26" t="s">
        <v>14</v>
      </c>
      <c r="D4" s="34" t="s">
        <v>875</v>
      </c>
      <c r="E4" s="26" t="s">
        <v>821</v>
      </c>
      <c r="F4" s="26" t="s">
        <v>822</v>
      </c>
      <c r="G4" s="26" t="s">
        <v>884</v>
      </c>
      <c r="H4" s="27" t="s">
        <v>823</v>
      </c>
      <c r="I4" s="28" t="s">
        <v>887</v>
      </c>
      <c r="J4" s="26" t="s">
        <v>874</v>
      </c>
      <c r="K4" s="26" t="s">
        <v>885</v>
      </c>
      <c r="L4" s="26" t="s">
        <v>830</v>
      </c>
      <c r="M4" s="26" t="s">
        <v>831</v>
      </c>
      <c r="N4" s="26" t="s">
        <v>832</v>
      </c>
      <c r="O4" s="46" t="s">
        <v>835</v>
      </c>
      <c r="P4" s="56" t="s">
        <v>872</v>
      </c>
      <c r="Q4" s="29" t="s">
        <v>873</v>
      </c>
      <c r="R4" s="47" t="s">
        <v>1</v>
      </c>
      <c r="S4" s="35" t="s">
        <v>871</v>
      </c>
      <c r="T4" s="47" t="s">
        <v>886</v>
      </c>
      <c r="U4" s="46" t="s">
        <v>834</v>
      </c>
      <c r="V4" s="51" t="s">
        <v>416</v>
      </c>
      <c r="W4" s="9" t="s">
        <v>896</v>
      </c>
      <c r="X4" s="9" t="s">
        <v>897</v>
      </c>
      <c r="Y4" s="9" t="s">
        <v>416</v>
      </c>
      <c r="Z4" s="9" t="s">
        <v>417</v>
      </c>
      <c r="AA4" s="10" t="s">
        <v>418</v>
      </c>
      <c r="AB4" s="10" t="s">
        <v>419</v>
      </c>
      <c r="AC4" s="11" t="s">
        <v>803</v>
      </c>
      <c r="AD4" s="51" t="s">
        <v>804</v>
      </c>
    </row>
    <row r="5" spans="1:30" s="2" customFormat="1">
      <c r="A5" s="30" t="str">
        <f>IF(NOT(COUNTA(B5:H5)),"",ROW()-4)</f>
        <v/>
      </c>
      <c r="B5" s="20"/>
      <c r="C5" s="21"/>
      <c r="D5" s="21"/>
      <c r="E5" s="21"/>
      <c r="F5" s="21"/>
      <c r="G5" s="21"/>
      <c r="H5" s="22"/>
      <c r="I5" s="20"/>
      <c r="J5" s="21"/>
      <c r="K5" s="21"/>
      <c r="L5" s="21"/>
      <c r="M5" s="21"/>
      <c r="N5" s="21"/>
      <c r="O5" s="19"/>
      <c r="P5" s="20"/>
      <c r="Q5" s="21"/>
      <c r="R5" s="65"/>
      <c r="S5" s="23"/>
      <c r="T5" s="58"/>
      <c r="U5" s="61"/>
      <c r="V5" s="52"/>
      <c r="W5" s="2" t="str">
        <f t="shared" ref="W5:W36" ca="1" si="0">IF(ISNA(VLOOKUP(P5,內容物Mapping,2,FALSE)),"",VLOOKUP(P5,內容物Mapping,2,FALSE))</f>
        <v/>
      </c>
      <c r="X5" s="2">
        <f t="shared" ref="X5:X36" si="1">IF(P5="其他",TRIM(Q5),P5)</f>
        <v>0</v>
      </c>
      <c r="Y5" s="2" t="str">
        <f ca="1">IF(ISNA(VLOOKUP(V5,未寄達處理方式Mapping,2,FALSE)),"",VLOOKUP(V5,未寄達處理方式Mapping,2,FALSE))</f>
        <v/>
      </c>
      <c r="Z5" s="1" t="str">
        <f t="shared" ref="Z5:Z36" ca="1" si="2">IF(ISNA(VLOOKUP(D5,地址類別Mapping,2,FALSE)),"",VLOOKUP(D5,地址類別Mapping,2,FALSE))</f>
        <v/>
      </c>
      <c r="AA5" s="2" t="str">
        <f t="shared" ref="AA5:AA36" ca="1" si="3">IF(ISNA(VLOOKUP(E5&amp;"-"&amp;F5,郵遞區號,2,FALSE)),"",VLOOKUP(E5&amp;"-"&amp;F5,郵遞區號,2,FALSE))</f>
        <v/>
      </c>
      <c r="AB5" s="2" t="str">
        <f t="shared" ref="AB5:AB36" ca="1" si="4">IF(ISNA(VLOOKUP(L5&amp;"-"&amp;M5,郵遞區號,2,FALSE)),"",VLOOKUP(L5&amp;"-"&amp;M5,郵遞區號,2,FALSE))</f>
        <v/>
      </c>
      <c r="AC5" s="1" t="str">
        <f t="shared" ref="AC5:AC36" ca="1" si="5">IF(ISNA(VLOOKUP(S5,箱袋種類Mapping,2,FALSE)),"",VLOOKUP(S5,箱袋種類Mapping,2,FALSE))</f>
        <v/>
      </c>
      <c r="AD5" t="str">
        <f t="shared" ref="AD5:AD36" si="6">IF(TRIM(B5)&lt;&gt;"","202","")</f>
        <v/>
      </c>
    </row>
    <row r="6" spans="1:30" s="2" customFormat="1">
      <c r="A6" s="30" t="str">
        <f t="shared" ref="A6:A36" si="7">IF(NOT(COUNTA(B6:H6)),"",ROW()-4)</f>
        <v/>
      </c>
      <c r="B6" s="14"/>
      <c r="C6" s="4"/>
      <c r="D6" s="4"/>
      <c r="E6" s="4"/>
      <c r="F6" s="4"/>
      <c r="G6" s="4"/>
      <c r="H6" s="15"/>
      <c r="I6" s="14"/>
      <c r="J6" s="4"/>
      <c r="K6" s="4"/>
      <c r="L6" s="4"/>
      <c r="M6" s="4"/>
      <c r="N6" s="4"/>
      <c r="O6" s="13"/>
      <c r="P6" s="20"/>
      <c r="Q6" s="4"/>
      <c r="R6" s="66"/>
      <c r="S6" s="5"/>
      <c r="T6" s="59"/>
      <c r="U6" s="62"/>
      <c r="V6" s="53"/>
      <c r="W6" s="2" t="str">
        <f t="shared" ca="1" si="0"/>
        <v/>
      </c>
      <c r="X6" s="2">
        <f t="shared" si="1"/>
        <v>0</v>
      </c>
      <c r="Y6" s="2" t="str">
        <f t="shared" ref="Y6:Y36" ca="1" si="8">IF(ISNA(VLOOKUP(V6,未寄達處理方式Mapping,2,FALSE)),"",VLOOKUP(V6,未寄達處理方式Mapping,2,FALSE))</f>
        <v/>
      </c>
      <c r="Z6" s="1" t="str">
        <f t="shared" ca="1" si="2"/>
        <v/>
      </c>
      <c r="AA6" s="2" t="str">
        <f t="shared" ca="1" si="3"/>
        <v/>
      </c>
      <c r="AB6" s="2" t="str">
        <f t="shared" ca="1" si="4"/>
        <v/>
      </c>
      <c r="AC6" s="1" t="str">
        <f t="shared" ca="1" si="5"/>
        <v/>
      </c>
      <c r="AD6" t="str">
        <f t="shared" si="6"/>
        <v/>
      </c>
    </row>
    <row r="7" spans="1:30" s="2" customFormat="1">
      <c r="A7" s="30" t="str">
        <f>IF(NOT(COUNTA(B7:H7)),"",ROW()-4)</f>
        <v/>
      </c>
      <c r="B7" s="14"/>
      <c r="C7" s="4"/>
      <c r="D7" s="4"/>
      <c r="E7" s="4"/>
      <c r="F7" s="4"/>
      <c r="G7" s="4"/>
      <c r="H7" s="15"/>
      <c r="I7" s="14"/>
      <c r="J7" s="4"/>
      <c r="K7" s="4"/>
      <c r="L7" s="4"/>
      <c r="M7" s="4"/>
      <c r="N7" s="4"/>
      <c r="O7" s="13"/>
      <c r="P7" s="20"/>
      <c r="Q7" s="4"/>
      <c r="R7" s="66"/>
      <c r="S7" s="5"/>
      <c r="T7" s="59"/>
      <c r="U7" s="62"/>
      <c r="V7" s="53"/>
      <c r="W7" s="2" t="str">
        <f t="shared" ca="1" si="0"/>
        <v/>
      </c>
      <c r="X7" s="2">
        <f t="shared" si="1"/>
        <v>0</v>
      </c>
      <c r="Y7" s="2" t="str">
        <f ca="1">IF(ISNA(VLOOKUP(V7,未寄達處理方式Mapping,2,FALSE)),"",VLOOKUP(V7,未寄達處理方式Mapping,2,FALSE))</f>
        <v/>
      </c>
      <c r="Z7" s="1" t="str">
        <f t="shared" ca="1" si="2"/>
        <v/>
      </c>
      <c r="AA7" s="2" t="str">
        <f t="shared" ca="1" si="3"/>
        <v/>
      </c>
      <c r="AB7" s="2" t="str">
        <f t="shared" ca="1" si="4"/>
        <v/>
      </c>
      <c r="AC7" s="1" t="str">
        <f t="shared" ca="1" si="5"/>
        <v/>
      </c>
      <c r="AD7" t="str">
        <f t="shared" si="6"/>
        <v/>
      </c>
    </row>
    <row r="8" spans="1:30" s="2" customFormat="1">
      <c r="A8" s="30" t="str">
        <f t="shared" si="7"/>
        <v/>
      </c>
      <c r="B8" s="14"/>
      <c r="C8" s="4"/>
      <c r="D8" s="4"/>
      <c r="E8" s="4"/>
      <c r="F8" s="4"/>
      <c r="G8" s="4"/>
      <c r="H8" s="15"/>
      <c r="I8" s="14"/>
      <c r="J8" s="4"/>
      <c r="K8" s="4"/>
      <c r="L8" s="4"/>
      <c r="M8" s="4"/>
      <c r="N8" s="4"/>
      <c r="O8" s="13"/>
      <c r="P8" s="20"/>
      <c r="Q8" s="4"/>
      <c r="R8" s="66"/>
      <c r="S8" s="5"/>
      <c r="T8" s="59"/>
      <c r="U8" s="62"/>
      <c r="V8" s="53"/>
      <c r="W8" s="2" t="str">
        <f t="shared" ca="1" si="0"/>
        <v/>
      </c>
      <c r="X8" s="2">
        <f t="shared" si="1"/>
        <v>0</v>
      </c>
      <c r="Y8" s="2" t="str">
        <f t="shared" ca="1" si="8"/>
        <v/>
      </c>
      <c r="Z8" s="1" t="str">
        <f t="shared" ca="1" si="2"/>
        <v/>
      </c>
      <c r="AA8" s="2" t="str">
        <f t="shared" ca="1" si="3"/>
        <v/>
      </c>
      <c r="AB8" s="2" t="str">
        <f t="shared" ca="1" si="4"/>
        <v/>
      </c>
      <c r="AC8" s="1" t="str">
        <f t="shared" ca="1" si="5"/>
        <v/>
      </c>
      <c r="AD8" t="str">
        <f t="shared" si="6"/>
        <v/>
      </c>
    </row>
    <row r="9" spans="1:30" s="2" customFormat="1">
      <c r="A9" s="30" t="str">
        <f t="shared" si="7"/>
        <v/>
      </c>
      <c r="B9" s="14"/>
      <c r="C9" s="4"/>
      <c r="D9" s="4"/>
      <c r="E9" s="4"/>
      <c r="F9" s="4"/>
      <c r="G9" s="4"/>
      <c r="H9" s="15"/>
      <c r="I9" s="14"/>
      <c r="J9" s="4"/>
      <c r="K9" s="4"/>
      <c r="L9" s="4"/>
      <c r="M9" s="4"/>
      <c r="N9" s="4"/>
      <c r="O9" s="13"/>
      <c r="P9" s="20"/>
      <c r="Q9" s="4"/>
      <c r="R9" s="66"/>
      <c r="S9" s="5"/>
      <c r="T9" s="59"/>
      <c r="U9" s="62"/>
      <c r="V9" s="53"/>
      <c r="W9" s="2" t="str">
        <f t="shared" ca="1" si="0"/>
        <v/>
      </c>
      <c r="X9" s="2">
        <f t="shared" si="1"/>
        <v>0</v>
      </c>
      <c r="Y9" s="2" t="str">
        <f t="shared" ca="1" si="8"/>
        <v/>
      </c>
      <c r="Z9" s="1" t="str">
        <f t="shared" ca="1" si="2"/>
        <v/>
      </c>
      <c r="AA9" s="2" t="str">
        <f t="shared" ca="1" si="3"/>
        <v/>
      </c>
      <c r="AB9" s="2" t="str">
        <f t="shared" ca="1" si="4"/>
        <v/>
      </c>
      <c r="AC9" s="1" t="str">
        <f t="shared" ca="1" si="5"/>
        <v/>
      </c>
      <c r="AD9" t="str">
        <f t="shared" si="6"/>
        <v/>
      </c>
    </row>
    <row r="10" spans="1:30" s="2" customFormat="1">
      <c r="A10" s="30" t="str">
        <f t="shared" si="7"/>
        <v/>
      </c>
      <c r="B10" s="14"/>
      <c r="C10" s="4"/>
      <c r="D10" s="4"/>
      <c r="E10" s="4"/>
      <c r="F10" s="4"/>
      <c r="G10" s="4"/>
      <c r="H10" s="15"/>
      <c r="I10" s="14"/>
      <c r="J10" s="4"/>
      <c r="K10" s="4"/>
      <c r="L10" s="4"/>
      <c r="M10" s="4"/>
      <c r="N10" s="4"/>
      <c r="O10" s="13"/>
      <c r="P10" s="20"/>
      <c r="Q10" s="4"/>
      <c r="R10" s="66"/>
      <c r="S10" s="5"/>
      <c r="T10" s="59"/>
      <c r="U10" s="63"/>
      <c r="V10" s="53"/>
      <c r="W10" s="2" t="str">
        <f t="shared" ca="1" si="0"/>
        <v/>
      </c>
      <c r="X10" s="2">
        <f t="shared" si="1"/>
        <v>0</v>
      </c>
      <c r="Y10" s="2" t="str">
        <f t="shared" ca="1" si="8"/>
        <v/>
      </c>
      <c r="Z10" s="1" t="str">
        <f t="shared" ca="1" si="2"/>
        <v/>
      </c>
      <c r="AA10" s="2" t="str">
        <f t="shared" ca="1" si="3"/>
        <v/>
      </c>
      <c r="AB10" s="2" t="str">
        <f t="shared" ca="1" si="4"/>
        <v/>
      </c>
      <c r="AC10" s="1" t="str">
        <f t="shared" ca="1" si="5"/>
        <v/>
      </c>
      <c r="AD10" t="str">
        <f t="shared" si="6"/>
        <v/>
      </c>
    </row>
    <row r="11" spans="1:30" s="2" customFormat="1">
      <c r="A11" s="30" t="str">
        <f t="shared" si="7"/>
        <v/>
      </c>
      <c r="B11" s="14"/>
      <c r="C11" s="4"/>
      <c r="D11" s="4"/>
      <c r="E11" s="4"/>
      <c r="F11" s="4"/>
      <c r="G11" s="4"/>
      <c r="H11" s="15"/>
      <c r="I11" s="14"/>
      <c r="J11" s="4"/>
      <c r="K11" s="4"/>
      <c r="L11" s="4"/>
      <c r="M11" s="4"/>
      <c r="N11" s="4"/>
      <c r="O11" s="13"/>
      <c r="P11" s="20"/>
      <c r="Q11" s="4"/>
      <c r="R11" s="66"/>
      <c r="S11" s="5"/>
      <c r="T11" s="59"/>
      <c r="U11" s="62"/>
      <c r="V11" s="53"/>
      <c r="W11" s="2" t="str">
        <f t="shared" ca="1" si="0"/>
        <v/>
      </c>
      <c r="X11" s="2">
        <f t="shared" si="1"/>
        <v>0</v>
      </c>
      <c r="Y11" s="2" t="str">
        <f t="shared" ca="1" si="8"/>
        <v/>
      </c>
      <c r="Z11" s="1" t="str">
        <f t="shared" ca="1" si="2"/>
        <v/>
      </c>
      <c r="AA11" s="2" t="str">
        <f t="shared" ca="1" si="3"/>
        <v/>
      </c>
      <c r="AB11" s="2" t="str">
        <f t="shared" ca="1" si="4"/>
        <v/>
      </c>
      <c r="AC11" s="1" t="str">
        <f t="shared" ca="1" si="5"/>
        <v/>
      </c>
      <c r="AD11" t="str">
        <f t="shared" si="6"/>
        <v/>
      </c>
    </row>
    <row r="12" spans="1:30" s="2" customFormat="1">
      <c r="A12" s="30" t="str">
        <f t="shared" si="7"/>
        <v/>
      </c>
      <c r="B12" s="14"/>
      <c r="C12" s="4"/>
      <c r="D12" s="4"/>
      <c r="E12" s="4"/>
      <c r="F12" s="4"/>
      <c r="G12" s="4"/>
      <c r="H12" s="15"/>
      <c r="I12" s="14"/>
      <c r="J12" s="4"/>
      <c r="K12" s="4"/>
      <c r="L12" s="4"/>
      <c r="M12" s="4"/>
      <c r="N12" s="4"/>
      <c r="O12" s="13"/>
      <c r="P12" s="20"/>
      <c r="Q12" s="4"/>
      <c r="R12" s="66"/>
      <c r="S12" s="5"/>
      <c r="T12" s="59"/>
      <c r="U12" s="62"/>
      <c r="V12" s="53"/>
      <c r="W12" s="2" t="str">
        <f t="shared" ca="1" si="0"/>
        <v/>
      </c>
      <c r="X12" s="2">
        <f t="shared" si="1"/>
        <v>0</v>
      </c>
      <c r="Y12" s="2" t="str">
        <f t="shared" ca="1" si="8"/>
        <v/>
      </c>
      <c r="Z12" s="1" t="str">
        <f t="shared" ca="1" si="2"/>
        <v/>
      </c>
      <c r="AA12" s="2" t="str">
        <f t="shared" ca="1" si="3"/>
        <v/>
      </c>
      <c r="AB12" s="2" t="str">
        <f t="shared" ca="1" si="4"/>
        <v/>
      </c>
      <c r="AC12" s="1" t="str">
        <f t="shared" ca="1" si="5"/>
        <v/>
      </c>
      <c r="AD12" t="str">
        <f t="shared" si="6"/>
        <v/>
      </c>
    </row>
    <row r="13" spans="1:30" s="2" customFormat="1">
      <c r="A13" s="30" t="str">
        <f t="shared" si="7"/>
        <v/>
      </c>
      <c r="B13" s="14"/>
      <c r="C13" s="4"/>
      <c r="D13" s="4"/>
      <c r="E13" s="4"/>
      <c r="F13" s="4"/>
      <c r="G13" s="4"/>
      <c r="H13" s="15"/>
      <c r="I13" s="14"/>
      <c r="J13" s="4"/>
      <c r="K13" s="4"/>
      <c r="L13" s="4"/>
      <c r="M13" s="4"/>
      <c r="N13" s="4"/>
      <c r="O13" s="13"/>
      <c r="P13" s="20"/>
      <c r="Q13" s="4"/>
      <c r="R13" s="66"/>
      <c r="S13" s="5"/>
      <c r="T13" s="59"/>
      <c r="U13" s="62"/>
      <c r="V13" s="53"/>
      <c r="W13" s="2" t="str">
        <f t="shared" ca="1" si="0"/>
        <v/>
      </c>
      <c r="X13" s="2">
        <f t="shared" si="1"/>
        <v>0</v>
      </c>
      <c r="Y13" s="2" t="str">
        <f t="shared" ca="1" si="8"/>
        <v/>
      </c>
      <c r="Z13" s="1" t="str">
        <f t="shared" ca="1" si="2"/>
        <v/>
      </c>
      <c r="AA13" s="2" t="str">
        <f t="shared" ca="1" si="3"/>
        <v/>
      </c>
      <c r="AB13" s="2" t="str">
        <f t="shared" ca="1" si="4"/>
        <v/>
      </c>
      <c r="AC13" s="1" t="str">
        <f t="shared" ca="1" si="5"/>
        <v/>
      </c>
      <c r="AD13" t="str">
        <f t="shared" si="6"/>
        <v/>
      </c>
    </row>
    <row r="14" spans="1:30" s="2" customFormat="1">
      <c r="A14" s="30" t="str">
        <f t="shared" si="7"/>
        <v/>
      </c>
      <c r="B14" s="14"/>
      <c r="C14" s="4"/>
      <c r="D14" s="4"/>
      <c r="E14" s="4"/>
      <c r="F14" s="4"/>
      <c r="G14" s="4"/>
      <c r="H14" s="15"/>
      <c r="I14" s="14"/>
      <c r="J14" s="4"/>
      <c r="K14" s="4"/>
      <c r="L14" s="4"/>
      <c r="M14" s="4"/>
      <c r="N14" s="4"/>
      <c r="O14" s="13"/>
      <c r="P14" s="20"/>
      <c r="Q14" s="4"/>
      <c r="R14" s="66"/>
      <c r="S14" s="5"/>
      <c r="T14" s="59"/>
      <c r="U14" s="62"/>
      <c r="V14" s="53"/>
      <c r="W14" s="2" t="str">
        <f t="shared" ca="1" si="0"/>
        <v/>
      </c>
      <c r="X14" s="2">
        <f t="shared" si="1"/>
        <v>0</v>
      </c>
      <c r="Y14" s="2" t="str">
        <f t="shared" ca="1" si="8"/>
        <v/>
      </c>
      <c r="Z14" s="1" t="str">
        <f t="shared" ca="1" si="2"/>
        <v/>
      </c>
      <c r="AA14" s="2" t="str">
        <f t="shared" ca="1" si="3"/>
        <v/>
      </c>
      <c r="AB14" s="2" t="str">
        <f t="shared" ca="1" si="4"/>
        <v/>
      </c>
      <c r="AC14" s="1" t="str">
        <f t="shared" ca="1" si="5"/>
        <v/>
      </c>
      <c r="AD14" t="str">
        <f t="shared" si="6"/>
        <v/>
      </c>
    </row>
    <row r="15" spans="1:30" s="2" customFormat="1">
      <c r="A15" s="30" t="str">
        <f t="shared" si="7"/>
        <v/>
      </c>
      <c r="B15" s="14"/>
      <c r="C15" s="4"/>
      <c r="D15" s="4"/>
      <c r="E15" s="4"/>
      <c r="F15" s="4"/>
      <c r="G15" s="4"/>
      <c r="H15" s="15"/>
      <c r="I15" s="14"/>
      <c r="J15" s="4"/>
      <c r="K15" s="4"/>
      <c r="L15" s="4"/>
      <c r="M15" s="4"/>
      <c r="N15" s="4"/>
      <c r="O15" s="13"/>
      <c r="P15" s="20"/>
      <c r="Q15" s="4"/>
      <c r="R15" s="66"/>
      <c r="S15" s="5"/>
      <c r="T15" s="59"/>
      <c r="U15" s="62"/>
      <c r="V15" s="53"/>
      <c r="W15" s="2" t="str">
        <f t="shared" ca="1" si="0"/>
        <v/>
      </c>
      <c r="X15" s="2">
        <f t="shared" si="1"/>
        <v>0</v>
      </c>
      <c r="Y15" s="2" t="str">
        <f t="shared" ca="1" si="8"/>
        <v/>
      </c>
      <c r="Z15" s="1" t="str">
        <f t="shared" ca="1" si="2"/>
        <v/>
      </c>
      <c r="AA15" s="2" t="str">
        <f t="shared" ca="1" si="3"/>
        <v/>
      </c>
      <c r="AB15" s="2" t="str">
        <f t="shared" ca="1" si="4"/>
        <v/>
      </c>
      <c r="AC15" s="1" t="str">
        <f t="shared" ca="1" si="5"/>
        <v/>
      </c>
      <c r="AD15" t="str">
        <f t="shared" si="6"/>
        <v/>
      </c>
    </row>
    <row r="16" spans="1:30" s="2" customFormat="1">
      <c r="A16" s="30" t="str">
        <f t="shared" si="7"/>
        <v/>
      </c>
      <c r="B16" s="14"/>
      <c r="C16" s="4"/>
      <c r="D16" s="4"/>
      <c r="E16" s="4"/>
      <c r="F16" s="4"/>
      <c r="G16" s="4"/>
      <c r="H16" s="15"/>
      <c r="I16" s="14"/>
      <c r="J16" s="4"/>
      <c r="K16" s="4"/>
      <c r="L16" s="4"/>
      <c r="M16" s="4"/>
      <c r="N16" s="4"/>
      <c r="O16" s="13"/>
      <c r="P16" s="20"/>
      <c r="Q16" s="4"/>
      <c r="R16" s="66"/>
      <c r="S16" s="5"/>
      <c r="T16" s="59"/>
      <c r="U16" s="62"/>
      <c r="V16" s="53"/>
      <c r="W16" s="2" t="str">
        <f t="shared" ca="1" si="0"/>
        <v/>
      </c>
      <c r="X16" s="2">
        <f t="shared" si="1"/>
        <v>0</v>
      </c>
      <c r="Y16" s="2" t="str">
        <f t="shared" ca="1" si="8"/>
        <v/>
      </c>
      <c r="Z16" s="1" t="str">
        <f t="shared" ca="1" si="2"/>
        <v/>
      </c>
      <c r="AA16" s="2" t="str">
        <f t="shared" ca="1" si="3"/>
        <v/>
      </c>
      <c r="AB16" s="2" t="str">
        <f t="shared" ca="1" si="4"/>
        <v/>
      </c>
      <c r="AC16" s="1" t="str">
        <f t="shared" ca="1" si="5"/>
        <v/>
      </c>
      <c r="AD16" t="str">
        <f t="shared" si="6"/>
        <v/>
      </c>
    </row>
    <row r="17" spans="1:30" s="2" customFormat="1">
      <c r="A17" s="30" t="str">
        <f t="shared" si="7"/>
        <v/>
      </c>
      <c r="B17" s="14"/>
      <c r="C17" s="4"/>
      <c r="D17" s="4"/>
      <c r="E17" s="4"/>
      <c r="F17" s="4"/>
      <c r="G17" s="4"/>
      <c r="H17" s="15"/>
      <c r="I17" s="14"/>
      <c r="J17" s="4"/>
      <c r="K17" s="4"/>
      <c r="L17" s="4"/>
      <c r="M17" s="4"/>
      <c r="N17" s="4"/>
      <c r="O17" s="13"/>
      <c r="P17" s="20"/>
      <c r="Q17" s="4"/>
      <c r="R17" s="66"/>
      <c r="S17" s="5"/>
      <c r="T17" s="59"/>
      <c r="U17" s="62"/>
      <c r="V17" s="53"/>
      <c r="W17" s="2" t="str">
        <f t="shared" ca="1" si="0"/>
        <v/>
      </c>
      <c r="X17" s="2">
        <f t="shared" si="1"/>
        <v>0</v>
      </c>
      <c r="Y17" s="2" t="str">
        <f t="shared" ca="1" si="8"/>
        <v/>
      </c>
      <c r="Z17" s="1" t="str">
        <f t="shared" ca="1" si="2"/>
        <v/>
      </c>
      <c r="AA17" s="2" t="str">
        <f t="shared" ca="1" si="3"/>
        <v/>
      </c>
      <c r="AB17" s="2" t="str">
        <f t="shared" ca="1" si="4"/>
        <v/>
      </c>
      <c r="AC17" s="1" t="str">
        <f t="shared" ca="1" si="5"/>
        <v/>
      </c>
      <c r="AD17" t="str">
        <f t="shared" si="6"/>
        <v/>
      </c>
    </row>
    <row r="18" spans="1:30" s="2" customFormat="1">
      <c r="A18" s="30" t="str">
        <f t="shared" si="7"/>
        <v/>
      </c>
      <c r="B18" s="14"/>
      <c r="C18" s="4"/>
      <c r="D18" s="4"/>
      <c r="E18" s="4"/>
      <c r="F18" s="4"/>
      <c r="G18" s="4"/>
      <c r="H18" s="15"/>
      <c r="I18" s="14"/>
      <c r="J18" s="4"/>
      <c r="K18" s="4"/>
      <c r="L18" s="4"/>
      <c r="M18" s="4"/>
      <c r="N18" s="4"/>
      <c r="O18" s="13"/>
      <c r="P18" s="20"/>
      <c r="Q18" s="4"/>
      <c r="R18" s="66"/>
      <c r="S18" s="5"/>
      <c r="T18" s="59"/>
      <c r="U18" s="62"/>
      <c r="V18" s="53"/>
      <c r="W18" s="2" t="str">
        <f t="shared" ca="1" si="0"/>
        <v/>
      </c>
      <c r="X18" s="2">
        <f t="shared" si="1"/>
        <v>0</v>
      </c>
      <c r="Y18" s="2" t="str">
        <f t="shared" ca="1" si="8"/>
        <v/>
      </c>
      <c r="Z18" s="1" t="str">
        <f t="shared" ca="1" si="2"/>
        <v/>
      </c>
      <c r="AA18" s="2" t="str">
        <f t="shared" ca="1" si="3"/>
        <v/>
      </c>
      <c r="AB18" s="2" t="str">
        <f t="shared" ca="1" si="4"/>
        <v/>
      </c>
      <c r="AC18" s="1" t="str">
        <f t="shared" ca="1" si="5"/>
        <v/>
      </c>
      <c r="AD18" t="str">
        <f t="shared" si="6"/>
        <v/>
      </c>
    </row>
    <row r="19" spans="1:30" s="2" customFormat="1">
      <c r="A19" s="30" t="str">
        <f t="shared" si="7"/>
        <v/>
      </c>
      <c r="B19" s="14"/>
      <c r="C19" s="4"/>
      <c r="D19" s="4"/>
      <c r="E19" s="4"/>
      <c r="F19" s="4"/>
      <c r="G19" s="4"/>
      <c r="H19" s="15"/>
      <c r="I19" s="14"/>
      <c r="J19" s="4"/>
      <c r="K19" s="4"/>
      <c r="L19" s="4"/>
      <c r="M19" s="4"/>
      <c r="N19" s="4"/>
      <c r="O19" s="13"/>
      <c r="P19" s="20"/>
      <c r="Q19" s="4"/>
      <c r="R19" s="66"/>
      <c r="S19" s="5"/>
      <c r="T19" s="59"/>
      <c r="U19" s="62"/>
      <c r="V19" s="53"/>
      <c r="W19" s="2" t="str">
        <f t="shared" ca="1" si="0"/>
        <v/>
      </c>
      <c r="X19" s="2">
        <f t="shared" si="1"/>
        <v>0</v>
      </c>
      <c r="Y19" s="2" t="str">
        <f t="shared" ca="1" si="8"/>
        <v/>
      </c>
      <c r="Z19" s="1" t="str">
        <f t="shared" ca="1" si="2"/>
        <v/>
      </c>
      <c r="AA19" s="2" t="str">
        <f t="shared" ca="1" si="3"/>
        <v/>
      </c>
      <c r="AB19" s="2" t="str">
        <f t="shared" ca="1" si="4"/>
        <v/>
      </c>
      <c r="AC19" s="1" t="str">
        <f t="shared" ca="1" si="5"/>
        <v/>
      </c>
      <c r="AD19" t="str">
        <f t="shared" si="6"/>
        <v/>
      </c>
    </row>
    <row r="20" spans="1:30" s="2" customFormat="1">
      <c r="A20" s="30" t="str">
        <f t="shared" si="7"/>
        <v/>
      </c>
      <c r="B20" s="14"/>
      <c r="C20" s="4"/>
      <c r="D20" s="4"/>
      <c r="E20" s="4"/>
      <c r="F20" s="4"/>
      <c r="G20" s="4"/>
      <c r="H20" s="15"/>
      <c r="I20" s="14"/>
      <c r="J20" s="4"/>
      <c r="K20" s="4"/>
      <c r="L20" s="4"/>
      <c r="M20" s="4"/>
      <c r="N20" s="4"/>
      <c r="O20" s="13"/>
      <c r="P20" s="20"/>
      <c r="Q20" s="4"/>
      <c r="R20" s="66"/>
      <c r="S20" s="5"/>
      <c r="T20" s="59"/>
      <c r="U20" s="62"/>
      <c r="V20" s="53"/>
      <c r="W20" s="2" t="str">
        <f t="shared" ca="1" si="0"/>
        <v/>
      </c>
      <c r="X20" s="2">
        <f t="shared" si="1"/>
        <v>0</v>
      </c>
      <c r="Y20" s="2" t="str">
        <f t="shared" ca="1" si="8"/>
        <v/>
      </c>
      <c r="Z20" s="1" t="str">
        <f t="shared" ca="1" si="2"/>
        <v/>
      </c>
      <c r="AA20" s="2" t="str">
        <f t="shared" ca="1" si="3"/>
        <v/>
      </c>
      <c r="AB20" s="2" t="str">
        <f t="shared" ca="1" si="4"/>
        <v/>
      </c>
      <c r="AC20" s="1" t="str">
        <f t="shared" ca="1" si="5"/>
        <v/>
      </c>
      <c r="AD20" t="str">
        <f t="shared" si="6"/>
        <v/>
      </c>
    </row>
    <row r="21" spans="1:30" s="2" customFormat="1">
      <c r="A21" s="30" t="str">
        <f t="shared" si="7"/>
        <v/>
      </c>
      <c r="B21" s="14"/>
      <c r="C21" s="4"/>
      <c r="D21" s="4"/>
      <c r="E21" s="4"/>
      <c r="F21" s="4"/>
      <c r="G21" s="4"/>
      <c r="H21" s="15"/>
      <c r="I21" s="14"/>
      <c r="J21" s="4"/>
      <c r="K21" s="4"/>
      <c r="L21" s="4"/>
      <c r="M21" s="4"/>
      <c r="N21" s="4"/>
      <c r="O21" s="13"/>
      <c r="P21" s="20"/>
      <c r="Q21" s="4"/>
      <c r="R21" s="66"/>
      <c r="S21" s="5"/>
      <c r="T21" s="59"/>
      <c r="U21" s="62"/>
      <c r="V21" s="53"/>
      <c r="W21" s="2" t="str">
        <f t="shared" ca="1" si="0"/>
        <v/>
      </c>
      <c r="X21" s="2">
        <f t="shared" si="1"/>
        <v>0</v>
      </c>
      <c r="Y21" s="2" t="str">
        <f t="shared" ca="1" si="8"/>
        <v/>
      </c>
      <c r="Z21" s="1" t="str">
        <f t="shared" ca="1" si="2"/>
        <v/>
      </c>
      <c r="AA21" s="2" t="str">
        <f t="shared" ca="1" si="3"/>
        <v/>
      </c>
      <c r="AB21" s="2" t="str">
        <f t="shared" ca="1" si="4"/>
        <v/>
      </c>
      <c r="AC21" s="1" t="str">
        <f t="shared" ca="1" si="5"/>
        <v/>
      </c>
      <c r="AD21" t="str">
        <f t="shared" si="6"/>
        <v/>
      </c>
    </row>
    <row r="22" spans="1:30" s="2" customFormat="1">
      <c r="A22" s="30" t="str">
        <f t="shared" si="7"/>
        <v/>
      </c>
      <c r="B22" s="14"/>
      <c r="C22" s="4"/>
      <c r="D22" s="4"/>
      <c r="E22" s="4"/>
      <c r="F22" s="4"/>
      <c r="G22" s="4"/>
      <c r="H22" s="15"/>
      <c r="I22" s="14"/>
      <c r="J22" s="4"/>
      <c r="K22" s="4"/>
      <c r="L22" s="4"/>
      <c r="M22" s="4"/>
      <c r="N22" s="4"/>
      <c r="O22" s="13"/>
      <c r="P22" s="20"/>
      <c r="Q22" s="4"/>
      <c r="R22" s="66"/>
      <c r="S22" s="5"/>
      <c r="T22" s="59"/>
      <c r="U22" s="62"/>
      <c r="V22" s="53"/>
      <c r="W22" s="2" t="str">
        <f t="shared" ca="1" si="0"/>
        <v/>
      </c>
      <c r="X22" s="2">
        <f t="shared" si="1"/>
        <v>0</v>
      </c>
      <c r="Y22" s="2" t="str">
        <f t="shared" ca="1" si="8"/>
        <v/>
      </c>
      <c r="Z22" s="1" t="str">
        <f t="shared" ca="1" si="2"/>
        <v/>
      </c>
      <c r="AA22" s="2" t="str">
        <f t="shared" ca="1" si="3"/>
        <v/>
      </c>
      <c r="AB22" s="2" t="str">
        <f t="shared" ca="1" si="4"/>
        <v/>
      </c>
      <c r="AC22" s="1" t="str">
        <f t="shared" ca="1" si="5"/>
        <v/>
      </c>
      <c r="AD22" t="str">
        <f t="shared" si="6"/>
        <v/>
      </c>
    </row>
    <row r="23" spans="1:30" s="2" customFormat="1">
      <c r="A23" s="30" t="str">
        <f t="shared" si="7"/>
        <v/>
      </c>
      <c r="B23" s="14"/>
      <c r="C23" s="4"/>
      <c r="D23" s="4"/>
      <c r="E23" s="4"/>
      <c r="F23" s="4"/>
      <c r="G23" s="4"/>
      <c r="H23" s="15"/>
      <c r="I23" s="14"/>
      <c r="J23" s="4"/>
      <c r="K23" s="4"/>
      <c r="L23" s="4"/>
      <c r="M23" s="4"/>
      <c r="N23" s="4"/>
      <c r="O23" s="13"/>
      <c r="P23" s="20"/>
      <c r="Q23" s="4"/>
      <c r="R23" s="66"/>
      <c r="S23" s="5"/>
      <c r="T23" s="59"/>
      <c r="U23" s="62"/>
      <c r="V23" s="53"/>
      <c r="W23" s="2" t="str">
        <f t="shared" ca="1" si="0"/>
        <v/>
      </c>
      <c r="X23" s="2">
        <f t="shared" si="1"/>
        <v>0</v>
      </c>
      <c r="Y23" s="2" t="str">
        <f t="shared" ca="1" si="8"/>
        <v/>
      </c>
      <c r="Z23" s="1" t="str">
        <f t="shared" ca="1" si="2"/>
        <v/>
      </c>
      <c r="AA23" s="2" t="str">
        <f t="shared" ca="1" si="3"/>
        <v/>
      </c>
      <c r="AB23" s="2" t="str">
        <f t="shared" ca="1" si="4"/>
        <v/>
      </c>
      <c r="AC23" s="1" t="str">
        <f t="shared" ca="1" si="5"/>
        <v/>
      </c>
      <c r="AD23" t="str">
        <f t="shared" si="6"/>
        <v/>
      </c>
    </row>
    <row r="24" spans="1:30" s="2" customFormat="1">
      <c r="A24" s="30" t="str">
        <f t="shared" si="7"/>
        <v/>
      </c>
      <c r="B24" s="14"/>
      <c r="C24" s="4"/>
      <c r="D24" s="4"/>
      <c r="E24" s="4"/>
      <c r="F24" s="4"/>
      <c r="G24" s="4"/>
      <c r="H24" s="15"/>
      <c r="I24" s="14"/>
      <c r="J24" s="4"/>
      <c r="K24" s="4"/>
      <c r="L24" s="4"/>
      <c r="M24" s="4"/>
      <c r="N24" s="4"/>
      <c r="O24" s="13"/>
      <c r="P24" s="20"/>
      <c r="Q24" s="4"/>
      <c r="R24" s="66"/>
      <c r="S24" s="5"/>
      <c r="T24" s="59"/>
      <c r="U24" s="62"/>
      <c r="V24" s="53"/>
      <c r="W24" s="2" t="str">
        <f t="shared" ca="1" si="0"/>
        <v/>
      </c>
      <c r="X24" s="2">
        <f t="shared" si="1"/>
        <v>0</v>
      </c>
      <c r="Y24" s="2" t="str">
        <f t="shared" ca="1" si="8"/>
        <v/>
      </c>
      <c r="Z24" s="1" t="str">
        <f t="shared" ca="1" si="2"/>
        <v/>
      </c>
      <c r="AA24" s="2" t="str">
        <f t="shared" ca="1" si="3"/>
        <v/>
      </c>
      <c r="AB24" s="2" t="str">
        <f t="shared" ca="1" si="4"/>
        <v/>
      </c>
      <c r="AC24" s="1" t="str">
        <f t="shared" ca="1" si="5"/>
        <v/>
      </c>
      <c r="AD24" t="str">
        <f t="shared" si="6"/>
        <v/>
      </c>
    </row>
    <row r="25" spans="1:30" s="2" customFormat="1">
      <c r="A25" s="30" t="str">
        <f t="shared" si="7"/>
        <v/>
      </c>
      <c r="B25" s="14"/>
      <c r="C25" s="4"/>
      <c r="D25" s="4"/>
      <c r="E25" s="4"/>
      <c r="F25" s="4"/>
      <c r="G25" s="4"/>
      <c r="H25" s="15"/>
      <c r="I25" s="14"/>
      <c r="J25" s="4"/>
      <c r="K25" s="4"/>
      <c r="L25" s="4"/>
      <c r="M25" s="4"/>
      <c r="N25" s="4"/>
      <c r="O25" s="13"/>
      <c r="P25" s="20"/>
      <c r="Q25" s="4"/>
      <c r="R25" s="66"/>
      <c r="S25" s="5"/>
      <c r="T25" s="59"/>
      <c r="U25" s="62"/>
      <c r="V25" s="53"/>
      <c r="W25" s="2" t="str">
        <f t="shared" ca="1" si="0"/>
        <v/>
      </c>
      <c r="X25" s="2">
        <f t="shared" si="1"/>
        <v>0</v>
      </c>
      <c r="Y25" s="2" t="str">
        <f t="shared" ca="1" si="8"/>
        <v/>
      </c>
      <c r="Z25" s="1" t="str">
        <f t="shared" ca="1" si="2"/>
        <v/>
      </c>
      <c r="AA25" s="2" t="str">
        <f t="shared" ca="1" si="3"/>
        <v/>
      </c>
      <c r="AB25" s="2" t="str">
        <f t="shared" ca="1" si="4"/>
        <v/>
      </c>
      <c r="AC25" s="1" t="str">
        <f t="shared" ca="1" si="5"/>
        <v/>
      </c>
      <c r="AD25" t="str">
        <f t="shared" si="6"/>
        <v/>
      </c>
    </row>
    <row r="26" spans="1:30" s="2" customFormat="1">
      <c r="A26" s="30" t="str">
        <f t="shared" si="7"/>
        <v/>
      </c>
      <c r="B26" s="14"/>
      <c r="C26" s="4"/>
      <c r="D26" s="4"/>
      <c r="E26" s="4"/>
      <c r="F26" s="4"/>
      <c r="G26" s="4"/>
      <c r="H26" s="15"/>
      <c r="I26" s="14"/>
      <c r="J26" s="4"/>
      <c r="K26" s="4"/>
      <c r="L26" s="4"/>
      <c r="M26" s="4"/>
      <c r="N26" s="4"/>
      <c r="O26" s="13"/>
      <c r="P26" s="20"/>
      <c r="Q26" s="4"/>
      <c r="R26" s="66"/>
      <c r="S26" s="5"/>
      <c r="T26" s="59"/>
      <c r="U26" s="62"/>
      <c r="V26" s="53"/>
      <c r="W26" s="2" t="str">
        <f t="shared" ca="1" si="0"/>
        <v/>
      </c>
      <c r="X26" s="2">
        <f t="shared" si="1"/>
        <v>0</v>
      </c>
      <c r="Y26" s="2" t="str">
        <f t="shared" ca="1" si="8"/>
        <v/>
      </c>
      <c r="Z26" s="1" t="str">
        <f t="shared" ca="1" si="2"/>
        <v/>
      </c>
      <c r="AA26" s="2" t="str">
        <f t="shared" ca="1" si="3"/>
        <v/>
      </c>
      <c r="AB26" s="2" t="str">
        <f t="shared" ca="1" si="4"/>
        <v/>
      </c>
      <c r="AC26" s="1" t="str">
        <f t="shared" ca="1" si="5"/>
        <v/>
      </c>
      <c r="AD26" t="str">
        <f t="shared" si="6"/>
        <v/>
      </c>
    </row>
    <row r="27" spans="1:30" s="2" customFormat="1">
      <c r="A27" s="30" t="str">
        <f t="shared" si="7"/>
        <v/>
      </c>
      <c r="B27" s="14"/>
      <c r="C27" s="4"/>
      <c r="D27" s="4"/>
      <c r="E27" s="4"/>
      <c r="F27" s="4"/>
      <c r="G27" s="4"/>
      <c r="H27" s="15"/>
      <c r="I27" s="14"/>
      <c r="J27" s="4"/>
      <c r="K27" s="4"/>
      <c r="L27" s="4"/>
      <c r="M27" s="4"/>
      <c r="N27" s="4"/>
      <c r="O27" s="13"/>
      <c r="P27" s="20"/>
      <c r="Q27" s="4"/>
      <c r="R27" s="66"/>
      <c r="S27" s="5"/>
      <c r="T27" s="59"/>
      <c r="U27" s="62"/>
      <c r="V27" s="53"/>
      <c r="W27" s="2" t="str">
        <f t="shared" ca="1" si="0"/>
        <v/>
      </c>
      <c r="X27" s="2">
        <f t="shared" si="1"/>
        <v>0</v>
      </c>
      <c r="Y27" s="2" t="str">
        <f t="shared" ca="1" si="8"/>
        <v/>
      </c>
      <c r="Z27" s="1" t="str">
        <f t="shared" ca="1" si="2"/>
        <v/>
      </c>
      <c r="AA27" s="2" t="str">
        <f t="shared" ca="1" si="3"/>
        <v/>
      </c>
      <c r="AB27" s="2" t="str">
        <f t="shared" ca="1" si="4"/>
        <v/>
      </c>
      <c r="AC27" s="1" t="str">
        <f t="shared" ca="1" si="5"/>
        <v/>
      </c>
      <c r="AD27" t="str">
        <f t="shared" si="6"/>
        <v/>
      </c>
    </row>
    <row r="28" spans="1:30" s="2" customFormat="1">
      <c r="A28" s="30" t="str">
        <f t="shared" si="7"/>
        <v/>
      </c>
      <c r="B28" s="14"/>
      <c r="C28" s="4"/>
      <c r="D28" s="4"/>
      <c r="E28" s="4"/>
      <c r="F28" s="4"/>
      <c r="G28" s="4"/>
      <c r="H28" s="15"/>
      <c r="I28" s="14"/>
      <c r="J28" s="4"/>
      <c r="K28" s="4"/>
      <c r="L28" s="4"/>
      <c r="M28" s="4"/>
      <c r="N28" s="4"/>
      <c r="O28" s="13"/>
      <c r="P28" s="20"/>
      <c r="Q28" s="4"/>
      <c r="R28" s="66"/>
      <c r="S28" s="5"/>
      <c r="T28" s="59"/>
      <c r="U28" s="62"/>
      <c r="V28" s="53"/>
      <c r="W28" s="2" t="str">
        <f t="shared" ca="1" si="0"/>
        <v/>
      </c>
      <c r="X28" s="2">
        <f t="shared" si="1"/>
        <v>0</v>
      </c>
      <c r="Y28" s="2" t="str">
        <f t="shared" ca="1" si="8"/>
        <v/>
      </c>
      <c r="Z28" s="1" t="str">
        <f t="shared" ca="1" si="2"/>
        <v/>
      </c>
      <c r="AA28" s="2" t="str">
        <f t="shared" ca="1" si="3"/>
        <v/>
      </c>
      <c r="AB28" s="2" t="str">
        <f t="shared" ca="1" si="4"/>
        <v/>
      </c>
      <c r="AC28" s="1" t="str">
        <f t="shared" ca="1" si="5"/>
        <v/>
      </c>
      <c r="AD28" t="str">
        <f t="shared" si="6"/>
        <v/>
      </c>
    </row>
    <row r="29" spans="1:30" s="2" customFormat="1">
      <c r="A29" s="30" t="str">
        <f t="shared" si="7"/>
        <v/>
      </c>
      <c r="B29" s="14"/>
      <c r="C29" s="4"/>
      <c r="D29" s="4"/>
      <c r="E29" s="4"/>
      <c r="F29" s="4"/>
      <c r="G29" s="4"/>
      <c r="H29" s="15"/>
      <c r="I29" s="14"/>
      <c r="J29" s="4"/>
      <c r="K29" s="4"/>
      <c r="L29" s="4"/>
      <c r="M29" s="4"/>
      <c r="N29" s="4"/>
      <c r="O29" s="13"/>
      <c r="P29" s="20"/>
      <c r="Q29" s="4"/>
      <c r="R29" s="66"/>
      <c r="S29" s="5"/>
      <c r="T29" s="59"/>
      <c r="U29" s="62"/>
      <c r="V29" s="53"/>
      <c r="W29" s="2" t="str">
        <f t="shared" ca="1" si="0"/>
        <v/>
      </c>
      <c r="X29" s="2">
        <f t="shared" si="1"/>
        <v>0</v>
      </c>
      <c r="Y29" s="2" t="str">
        <f t="shared" ca="1" si="8"/>
        <v/>
      </c>
      <c r="Z29" s="1" t="str">
        <f t="shared" ca="1" si="2"/>
        <v/>
      </c>
      <c r="AA29" s="2" t="str">
        <f t="shared" ca="1" si="3"/>
        <v/>
      </c>
      <c r="AB29" s="2" t="str">
        <f t="shared" ca="1" si="4"/>
        <v/>
      </c>
      <c r="AC29" s="1" t="str">
        <f t="shared" ca="1" si="5"/>
        <v/>
      </c>
      <c r="AD29" t="str">
        <f t="shared" si="6"/>
        <v/>
      </c>
    </row>
    <row r="30" spans="1:30" s="2" customFormat="1">
      <c r="A30" s="30" t="str">
        <f t="shared" si="7"/>
        <v/>
      </c>
      <c r="B30" s="14"/>
      <c r="C30" s="4"/>
      <c r="D30" s="4"/>
      <c r="E30" s="4"/>
      <c r="F30" s="4"/>
      <c r="G30" s="4"/>
      <c r="H30" s="15"/>
      <c r="I30" s="14"/>
      <c r="J30" s="4"/>
      <c r="K30" s="4"/>
      <c r="L30" s="4"/>
      <c r="M30" s="4"/>
      <c r="N30" s="4"/>
      <c r="O30" s="13"/>
      <c r="P30" s="20"/>
      <c r="Q30" s="4"/>
      <c r="R30" s="66"/>
      <c r="S30" s="5"/>
      <c r="T30" s="59"/>
      <c r="U30" s="62"/>
      <c r="V30" s="53"/>
      <c r="W30" s="2" t="str">
        <f t="shared" ca="1" si="0"/>
        <v/>
      </c>
      <c r="X30" s="2">
        <f t="shared" si="1"/>
        <v>0</v>
      </c>
      <c r="Y30" s="2" t="str">
        <f t="shared" ca="1" si="8"/>
        <v/>
      </c>
      <c r="Z30" s="1" t="str">
        <f t="shared" ca="1" si="2"/>
        <v/>
      </c>
      <c r="AA30" s="2" t="str">
        <f t="shared" ca="1" si="3"/>
        <v/>
      </c>
      <c r="AB30" s="2" t="str">
        <f t="shared" ca="1" si="4"/>
        <v/>
      </c>
      <c r="AC30" s="1" t="str">
        <f t="shared" ca="1" si="5"/>
        <v/>
      </c>
      <c r="AD30" t="str">
        <f t="shared" si="6"/>
        <v/>
      </c>
    </row>
    <row r="31" spans="1:30" s="2" customFormat="1">
      <c r="A31" s="30" t="str">
        <f t="shared" si="7"/>
        <v/>
      </c>
      <c r="B31" s="14"/>
      <c r="C31" s="4"/>
      <c r="D31" s="4"/>
      <c r="E31" s="4"/>
      <c r="F31" s="4"/>
      <c r="G31" s="4"/>
      <c r="H31" s="15"/>
      <c r="I31" s="14"/>
      <c r="J31" s="4"/>
      <c r="K31" s="4"/>
      <c r="L31" s="4"/>
      <c r="M31" s="4"/>
      <c r="N31" s="4"/>
      <c r="O31" s="13"/>
      <c r="P31" s="20"/>
      <c r="Q31" s="4"/>
      <c r="R31" s="66"/>
      <c r="S31" s="5"/>
      <c r="T31" s="59"/>
      <c r="U31" s="62"/>
      <c r="V31" s="53"/>
      <c r="W31" s="2" t="str">
        <f t="shared" ca="1" si="0"/>
        <v/>
      </c>
      <c r="X31" s="2">
        <f t="shared" si="1"/>
        <v>0</v>
      </c>
      <c r="Y31" s="2" t="str">
        <f t="shared" ca="1" si="8"/>
        <v/>
      </c>
      <c r="Z31" s="1" t="str">
        <f t="shared" ca="1" si="2"/>
        <v/>
      </c>
      <c r="AA31" s="2" t="str">
        <f t="shared" ca="1" si="3"/>
        <v/>
      </c>
      <c r="AB31" s="2" t="str">
        <f t="shared" ca="1" si="4"/>
        <v/>
      </c>
      <c r="AC31" s="1" t="str">
        <f t="shared" ca="1" si="5"/>
        <v/>
      </c>
      <c r="AD31" t="str">
        <f t="shared" si="6"/>
        <v/>
      </c>
    </row>
    <row r="32" spans="1:30" s="2" customFormat="1">
      <c r="A32" s="30" t="str">
        <f t="shared" si="7"/>
        <v/>
      </c>
      <c r="B32" s="14"/>
      <c r="C32" s="4"/>
      <c r="D32" s="4"/>
      <c r="E32" s="4"/>
      <c r="F32" s="4"/>
      <c r="G32" s="4"/>
      <c r="H32" s="15"/>
      <c r="I32" s="14"/>
      <c r="J32" s="4"/>
      <c r="K32" s="4"/>
      <c r="L32" s="4"/>
      <c r="M32" s="4"/>
      <c r="N32" s="4"/>
      <c r="O32" s="13"/>
      <c r="P32" s="20"/>
      <c r="Q32" s="4"/>
      <c r="R32" s="66"/>
      <c r="S32" s="5"/>
      <c r="T32" s="59"/>
      <c r="U32" s="62"/>
      <c r="V32" s="53"/>
      <c r="W32" s="2" t="str">
        <f t="shared" ca="1" si="0"/>
        <v/>
      </c>
      <c r="X32" s="2">
        <f t="shared" si="1"/>
        <v>0</v>
      </c>
      <c r="Y32" s="2" t="str">
        <f t="shared" ca="1" si="8"/>
        <v/>
      </c>
      <c r="Z32" s="1" t="str">
        <f t="shared" ca="1" si="2"/>
        <v/>
      </c>
      <c r="AA32" s="2" t="str">
        <f t="shared" ca="1" si="3"/>
        <v/>
      </c>
      <c r="AB32" s="2" t="str">
        <f t="shared" ca="1" si="4"/>
        <v/>
      </c>
      <c r="AC32" s="1" t="str">
        <f t="shared" ca="1" si="5"/>
        <v/>
      </c>
      <c r="AD32" t="str">
        <f t="shared" si="6"/>
        <v/>
      </c>
    </row>
    <row r="33" spans="1:30" s="2" customFormat="1">
      <c r="A33" s="30" t="str">
        <f t="shared" si="7"/>
        <v/>
      </c>
      <c r="B33" s="14"/>
      <c r="C33" s="4"/>
      <c r="D33" s="4"/>
      <c r="E33" s="4"/>
      <c r="F33" s="4"/>
      <c r="G33" s="4"/>
      <c r="H33" s="15"/>
      <c r="I33" s="14"/>
      <c r="J33" s="4"/>
      <c r="K33" s="4"/>
      <c r="L33" s="4"/>
      <c r="M33" s="4"/>
      <c r="N33" s="4"/>
      <c r="O33" s="13"/>
      <c r="P33" s="20"/>
      <c r="Q33" s="4"/>
      <c r="R33" s="66"/>
      <c r="S33" s="5"/>
      <c r="T33" s="59"/>
      <c r="U33" s="62"/>
      <c r="V33" s="53"/>
      <c r="W33" s="2" t="str">
        <f t="shared" ca="1" si="0"/>
        <v/>
      </c>
      <c r="X33" s="2">
        <f t="shared" si="1"/>
        <v>0</v>
      </c>
      <c r="Y33" s="2" t="str">
        <f t="shared" ca="1" si="8"/>
        <v/>
      </c>
      <c r="Z33" s="1" t="str">
        <f t="shared" ca="1" si="2"/>
        <v/>
      </c>
      <c r="AA33" s="2" t="str">
        <f t="shared" ca="1" si="3"/>
        <v/>
      </c>
      <c r="AB33" s="2" t="str">
        <f t="shared" ca="1" si="4"/>
        <v/>
      </c>
      <c r="AC33" s="1" t="str">
        <f t="shared" ca="1" si="5"/>
        <v/>
      </c>
      <c r="AD33" t="str">
        <f t="shared" si="6"/>
        <v/>
      </c>
    </row>
    <row r="34" spans="1:30" s="2" customFormat="1">
      <c r="A34" s="30" t="str">
        <f t="shared" si="7"/>
        <v/>
      </c>
      <c r="B34" s="14"/>
      <c r="C34" s="4"/>
      <c r="D34" s="4"/>
      <c r="E34" s="4"/>
      <c r="F34" s="4"/>
      <c r="G34" s="4"/>
      <c r="H34" s="15"/>
      <c r="I34" s="14"/>
      <c r="J34" s="4"/>
      <c r="K34" s="4"/>
      <c r="L34" s="4"/>
      <c r="M34" s="4"/>
      <c r="N34" s="4"/>
      <c r="O34" s="13"/>
      <c r="P34" s="20"/>
      <c r="Q34" s="4"/>
      <c r="R34" s="66"/>
      <c r="S34" s="5"/>
      <c r="T34" s="59"/>
      <c r="U34" s="62"/>
      <c r="V34" s="53"/>
      <c r="W34" s="2" t="str">
        <f t="shared" ca="1" si="0"/>
        <v/>
      </c>
      <c r="X34" s="2">
        <f t="shared" si="1"/>
        <v>0</v>
      </c>
      <c r="Y34" s="2" t="str">
        <f t="shared" ca="1" si="8"/>
        <v/>
      </c>
      <c r="Z34" s="1" t="str">
        <f t="shared" ca="1" si="2"/>
        <v/>
      </c>
      <c r="AA34" s="2" t="str">
        <f t="shared" ca="1" si="3"/>
        <v/>
      </c>
      <c r="AB34" s="2" t="str">
        <f t="shared" ca="1" si="4"/>
        <v/>
      </c>
      <c r="AC34" s="1" t="str">
        <f t="shared" ca="1" si="5"/>
        <v/>
      </c>
      <c r="AD34" t="str">
        <f t="shared" si="6"/>
        <v/>
      </c>
    </row>
    <row r="35" spans="1:30" s="2" customFormat="1">
      <c r="A35" s="30" t="str">
        <f t="shared" si="7"/>
        <v/>
      </c>
      <c r="B35" s="14"/>
      <c r="C35" s="4"/>
      <c r="D35" s="4"/>
      <c r="E35" s="4"/>
      <c r="F35" s="4"/>
      <c r="G35" s="4"/>
      <c r="H35" s="15"/>
      <c r="I35" s="14"/>
      <c r="J35" s="4"/>
      <c r="K35" s="4"/>
      <c r="L35" s="4"/>
      <c r="M35" s="4"/>
      <c r="N35" s="4"/>
      <c r="O35" s="13"/>
      <c r="P35" s="20"/>
      <c r="Q35" s="4"/>
      <c r="R35" s="66"/>
      <c r="S35" s="5"/>
      <c r="T35" s="59"/>
      <c r="U35" s="62"/>
      <c r="V35" s="53"/>
      <c r="W35" s="2" t="str">
        <f t="shared" ca="1" si="0"/>
        <v/>
      </c>
      <c r="X35" s="2">
        <f t="shared" si="1"/>
        <v>0</v>
      </c>
      <c r="Y35" s="2" t="str">
        <f t="shared" ca="1" si="8"/>
        <v/>
      </c>
      <c r="Z35" s="1" t="str">
        <f t="shared" ca="1" si="2"/>
        <v/>
      </c>
      <c r="AA35" s="2" t="str">
        <f t="shared" ca="1" si="3"/>
        <v/>
      </c>
      <c r="AB35" s="2" t="str">
        <f t="shared" ca="1" si="4"/>
        <v/>
      </c>
      <c r="AC35" s="1" t="str">
        <f t="shared" ca="1" si="5"/>
        <v/>
      </c>
      <c r="AD35" t="str">
        <f t="shared" si="6"/>
        <v/>
      </c>
    </row>
    <row r="36" spans="1:30" s="2" customFormat="1">
      <c r="A36" s="30" t="str">
        <f t="shared" si="7"/>
        <v/>
      </c>
      <c r="B36" s="14"/>
      <c r="C36" s="4"/>
      <c r="D36" s="4"/>
      <c r="E36" s="4"/>
      <c r="F36" s="4"/>
      <c r="G36" s="4"/>
      <c r="H36" s="15"/>
      <c r="I36" s="14"/>
      <c r="J36" s="4"/>
      <c r="K36" s="4"/>
      <c r="L36" s="4"/>
      <c r="M36" s="4"/>
      <c r="N36" s="4"/>
      <c r="O36" s="13"/>
      <c r="P36" s="20"/>
      <c r="Q36" s="4"/>
      <c r="R36" s="66"/>
      <c r="S36" s="5"/>
      <c r="T36" s="59"/>
      <c r="U36" s="62"/>
      <c r="V36" s="53"/>
      <c r="W36" s="2" t="str">
        <f t="shared" ca="1" si="0"/>
        <v/>
      </c>
      <c r="X36" s="2">
        <f t="shared" si="1"/>
        <v>0</v>
      </c>
      <c r="Y36" s="2" t="str">
        <f t="shared" ca="1" si="8"/>
        <v/>
      </c>
      <c r="Z36" s="1" t="str">
        <f t="shared" ca="1" si="2"/>
        <v/>
      </c>
      <c r="AA36" s="2" t="str">
        <f t="shared" ca="1" si="3"/>
        <v/>
      </c>
      <c r="AB36" s="2" t="str">
        <f t="shared" ca="1" si="4"/>
        <v/>
      </c>
      <c r="AC36" s="1" t="str">
        <f t="shared" ca="1" si="5"/>
        <v/>
      </c>
      <c r="AD36" t="str">
        <f t="shared" si="6"/>
        <v/>
      </c>
    </row>
    <row r="37" spans="1:30" s="2" customFormat="1">
      <c r="A37" s="30" t="str">
        <f t="shared" ref="A37:A68" si="9">IF(NOT(COUNTA(B37:H37)),"",ROW()-4)</f>
        <v/>
      </c>
      <c r="B37" s="14"/>
      <c r="C37" s="4"/>
      <c r="D37" s="4"/>
      <c r="E37" s="4"/>
      <c r="F37" s="4"/>
      <c r="G37" s="4"/>
      <c r="H37" s="15"/>
      <c r="I37" s="14"/>
      <c r="J37" s="4"/>
      <c r="K37" s="4"/>
      <c r="L37" s="4"/>
      <c r="M37" s="4"/>
      <c r="N37" s="4"/>
      <c r="O37" s="13"/>
      <c r="P37" s="20"/>
      <c r="Q37" s="4"/>
      <c r="R37" s="66"/>
      <c r="S37" s="5"/>
      <c r="T37" s="59"/>
      <c r="U37" s="62"/>
      <c r="V37" s="53"/>
      <c r="W37" s="2" t="str">
        <f t="shared" ref="W37:W68" ca="1" si="10">IF(ISNA(VLOOKUP(P37,內容物Mapping,2,FALSE)),"",VLOOKUP(P37,內容物Mapping,2,FALSE))</f>
        <v/>
      </c>
      <c r="X37" s="2">
        <f t="shared" ref="X37:X68" si="11">IF(P37="其他",TRIM(Q37),P37)</f>
        <v>0</v>
      </c>
      <c r="Y37" s="2" t="str">
        <f t="shared" ref="Y37:Y68" ca="1" si="12">IF(ISNA(VLOOKUP(V37,未寄達處理方式Mapping,2,FALSE)),"",VLOOKUP(V37,未寄達處理方式Mapping,2,FALSE))</f>
        <v/>
      </c>
      <c r="Z37" s="1" t="str">
        <f t="shared" ref="Z37:Z68" ca="1" si="13">IF(ISNA(VLOOKUP(D37,地址類別Mapping,2,FALSE)),"",VLOOKUP(D37,地址類別Mapping,2,FALSE))</f>
        <v/>
      </c>
      <c r="AA37" s="2" t="str">
        <f t="shared" ref="AA37:AA68" ca="1" si="14">IF(ISNA(VLOOKUP(E37&amp;"-"&amp;F37,郵遞區號,2,FALSE)),"",VLOOKUP(E37&amp;"-"&amp;F37,郵遞區號,2,FALSE))</f>
        <v/>
      </c>
      <c r="AB37" s="2" t="str">
        <f t="shared" ref="AB37:AB68" ca="1" si="15">IF(ISNA(VLOOKUP(L37&amp;"-"&amp;M37,郵遞區號,2,FALSE)),"",VLOOKUP(L37&amp;"-"&amp;M37,郵遞區號,2,FALSE))</f>
        <v/>
      </c>
      <c r="AC37" s="1" t="str">
        <f t="shared" ref="AC37:AC68" ca="1" si="16">IF(ISNA(VLOOKUP(S37,箱袋種類Mapping,2,FALSE)),"",VLOOKUP(S37,箱袋種類Mapping,2,FALSE))</f>
        <v/>
      </c>
      <c r="AD37" t="str">
        <f t="shared" ref="AD37:AD68" si="17">IF(TRIM(B37)&lt;&gt;"","202","")</f>
        <v/>
      </c>
    </row>
    <row r="38" spans="1:30" s="2" customFormat="1">
      <c r="A38" s="30" t="str">
        <f t="shared" si="9"/>
        <v/>
      </c>
      <c r="B38" s="14"/>
      <c r="C38" s="4"/>
      <c r="D38" s="4"/>
      <c r="E38" s="4"/>
      <c r="F38" s="4"/>
      <c r="G38" s="4"/>
      <c r="H38" s="15"/>
      <c r="I38" s="14"/>
      <c r="J38" s="4"/>
      <c r="K38" s="4"/>
      <c r="L38" s="4"/>
      <c r="M38" s="4"/>
      <c r="N38" s="4"/>
      <c r="O38" s="13"/>
      <c r="P38" s="20"/>
      <c r="Q38" s="4"/>
      <c r="R38" s="66"/>
      <c r="S38" s="5"/>
      <c r="T38" s="59"/>
      <c r="U38" s="62"/>
      <c r="V38" s="53"/>
      <c r="W38" s="2" t="str">
        <f t="shared" ca="1" si="10"/>
        <v/>
      </c>
      <c r="X38" s="2">
        <f t="shared" si="11"/>
        <v>0</v>
      </c>
      <c r="Y38" s="2" t="str">
        <f t="shared" ca="1" si="12"/>
        <v/>
      </c>
      <c r="Z38" s="1" t="str">
        <f t="shared" ca="1" si="13"/>
        <v/>
      </c>
      <c r="AA38" s="2" t="str">
        <f t="shared" ca="1" si="14"/>
        <v/>
      </c>
      <c r="AB38" s="2" t="str">
        <f t="shared" ca="1" si="15"/>
        <v/>
      </c>
      <c r="AC38" s="1" t="str">
        <f t="shared" ca="1" si="16"/>
        <v/>
      </c>
      <c r="AD38" t="str">
        <f t="shared" si="17"/>
        <v/>
      </c>
    </row>
    <row r="39" spans="1:30" s="2" customFormat="1">
      <c r="A39" s="30" t="str">
        <f t="shared" si="9"/>
        <v/>
      </c>
      <c r="B39" s="14"/>
      <c r="C39" s="4"/>
      <c r="D39" s="4"/>
      <c r="E39" s="4"/>
      <c r="F39" s="4"/>
      <c r="G39" s="4"/>
      <c r="H39" s="15"/>
      <c r="I39" s="14"/>
      <c r="J39" s="4"/>
      <c r="K39" s="4"/>
      <c r="L39" s="4"/>
      <c r="M39" s="4"/>
      <c r="N39" s="4"/>
      <c r="O39" s="13"/>
      <c r="P39" s="20"/>
      <c r="Q39" s="4"/>
      <c r="R39" s="66"/>
      <c r="S39" s="5"/>
      <c r="T39" s="59"/>
      <c r="U39" s="62"/>
      <c r="V39" s="53"/>
      <c r="W39" s="2" t="str">
        <f t="shared" ca="1" si="10"/>
        <v/>
      </c>
      <c r="X39" s="2">
        <f t="shared" si="11"/>
        <v>0</v>
      </c>
      <c r="Y39" s="2" t="str">
        <f t="shared" ca="1" si="12"/>
        <v/>
      </c>
      <c r="Z39" s="1" t="str">
        <f t="shared" ca="1" si="13"/>
        <v/>
      </c>
      <c r="AA39" s="2" t="str">
        <f t="shared" ca="1" si="14"/>
        <v/>
      </c>
      <c r="AB39" s="2" t="str">
        <f t="shared" ca="1" si="15"/>
        <v/>
      </c>
      <c r="AC39" s="1" t="str">
        <f t="shared" ca="1" si="16"/>
        <v/>
      </c>
      <c r="AD39" t="str">
        <f t="shared" si="17"/>
        <v/>
      </c>
    </row>
    <row r="40" spans="1:30" s="2" customFormat="1">
      <c r="A40" s="30" t="str">
        <f t="shared" si="9"/>
        <v/>
      </c>
      <c r="B40" s="14"/>
      <c r="C40" s="4"/>
      <c r="D40" s="4"/>
      <c r="E40" s="4"/>
      <c r="F40" s="4"/>
      <c r="G40" s="4"/>
      <c r="H40" s="15"/>
      <c r="I40" s="14"/>
      <c r="J40" s="4"/>
      <c r="K40" s="4"/>
      <c r="L40" s="4"/>
      <c r="M40" s="4"/>
      <c r="N40" s="4"/>
      <c r="O40" s="13"/>
      <c r="P40" s="20"/>
      <c r="Q40" s="4"/>
      <c r="R40" s="66"/>
      <c r="S40" s="5"/>
      <c r="T40" s="59"/>
      <c r="U40" s="62"/>
      <c r="V40" s="53"/>
      <c r="W40" s="2" t="str">
        <f t="shared" ca="1" si="10"/>
        <v/>
      </c>
      <c r="X40" s="2">
        <f t="shared" si="11"/>
        <v>0</v>
      </c>
      <c r="Y40" s="2" t="str">
        <f t="shared" ca="1" si="12"/>
        <v/>
      </c>
      <c r="Z40" s="1" t="str">
        <f t="shared" ca="1" si="13"/>
        <v/>
      </c>
      <c r="AA40" s="2" t="str">
        <f t="shared" ca="1" si="14"/>
        <v/>
      </c>
      <c r="AB40" s="2" t="str">
        <f t="shared" ca="1" si="15"/>
        <v/>
      </c>
      <c r="AC40" s="1" t="str">
        <f t="shared" ca="1" si="16"/>
        <v/>
      </c>
      <c r="AD40" t="str">
        <f t="shared" si="17"/>
        <v/>
      </c>
    </row>
    <row r="41" spans="1:30" s="2" customFormat="1">
      <c r="A41" s="30" t="str">
        <f t="shared" si="9"/>
        <v/>
      </c>
      <c r="B41" s="14"/>
      <c r="C41" s="4"/>
      <c r="D41" s="4"/>
      <c r="E41" s="4"/>
      <c r="F41" s="4"/>
      <c r="G41" s="4"/>
      <c r="H41" s="15"/>
      <c r="I41" s="14"/>
      <c r="J41" s="4"/>
      <c r="K41" s="4"/>
      <c r="L41" s="4"/>
      <c r="M41" s="4"/>
      <c r="N41" s="4"/>
      <c r="O41" s="13"/>
      <c r="P41" s="20"/>
      <c r="Q41" s="4"/>
      <c r="R41" s="66"/>
      <c r="S41" s="5"/>
      <c r="T41" s="59"/>
      <c r="U41" s="62"/>
      <c r="V41" s="53"/>
      <c r="W41" s="2" t="str">
        <f t="shared" ca="1" si="10"/>
        <v/>
      </c>
      <c r="X41" s="2">
        <f t="shared" si="11"/>
        <v>0</v>
      </c>
      <c r="Y41" s="2" t="str">
        <f t="shared" ca="1" si="12"/>
        <v/>
      </c>
      <c r="Z41" s="1" t="str">
        <f t="shared" ca="1" si="13"/>
        <v/>
      </c>
      <c r="AA41" s="2" t="str">
        <f t="shared" ca="1" si="14"/>
        <v/>
      </c>
      <c r="AB41" s="2" t="str">
        <f t="shared" ca="1" si="15"/>
        <v/>
      </c>
      <c r="AC41" s="1" t="str">
        <f t="shared" ca="1" si="16"/>
        <v/>
      </c>
      <c r="AD41" t="str">
        <f t="shared" si="17"/>
        <v/>
      </c>
    </row>
    <row r="42" spans="1:30" s="2" customFormat="1">
      <c r="A42" s="30" t="str">
        <f t="shared" si="9"/>
        <v/>
      </c>
      <c r="B42" s="14"/>
      <c r="C42" s="4"/>
      <c r="D42" s="4"/>
      <c r="E42" s="4"/>
      <c r="F42" s="4"/>
      <c r="G42" s="4"/>
      <c r="H42" s="15"/>
      <c r="I42" s="14"/>
      <c r="J42" s="4"/>
      <c r="K42" s="4"/>
      <c r="L42" s="4"/>
      <c r="M42" s="4"/>
      <c r="N42" s="4"/>
      <c r="O42" s="13"/>
      <c r="P42" s="20"/>
      <c r="Q42" s="4"/>
      <c r="R42" s="66"/>
      <c r="S42" s="5"/>
      <c r="T42" s="59"/>
      <c r="U42" s="62"/>
      <c r="V42" s="53"/>
      <c r="W42" s="2" t="str">
        <f t="shared" ca="1" si="10"/>
        <v/>
      </c>
      <c r="X42" s="2">
        <f t="shared" si="11"/>
        <v>0</v>
      </c>
      <c r="Y42" s="2" t="str">
        <f t="shared" ca="1" si="12"/>
        <v/>
      </c>
      <c r="Z42" s="1" t="str">
        <f t="shared" ca="1" si="13"/>
        <v/>
      </c>
      <c r="AA42" s="2" t="str">
        <f t="shared" ca="1" si="14"/>
        <v/>
      </c>
      <c r="AB42" s="2" t="str">
        <f t="shared" ca="1" si="15"/>
        <v/>
      </c>
      <c r="AC42" s="1" t="str">
        <f t="shared" ca="1" si="16"/>
        <v/>
      </c>
      <c r="AD42" t="str">
        <f t="shared" si="17"/>
        <v/>
      </c>
    </row>
    <row r="43" spans="1:30" s="2" customFormat="1">
      <c r="A43" s="30" t="str">
        <f t="shared" si="9"/>
        <v/>
      </c>
      <c r="B43" s="14"/>
      <c r="C43" s="4"/>
      <c r="D43" s="4"/>
      <c r="E43" s="4"/>
      <c r="F43" s="4"/>
      <c r="G43" s="4"/>
      <c r="H43" s="15"/>
      <c r="I43" s="14"/>
      <c r="J43" s="4"/>
      <c r="K43" s="4"/>
      <c r="L43" s="4"/>
      <c r="M43" s="4"/>
      <c r="N43" s="4"/>
      <c r="O43" s="13"/>
      <c r="P43" s="20"/>
      <c r="Q43" s="4"/>
      <c r="R43" s="66"/>
      <c r="S43" s="5"/>
      <c r="T43" s="59"/>
      <c r="U43" s="62"/>
      <c r="V43" s="53"/>
      <c r="W43" s="2" t="str">
        <f t="shared" ca="1" si="10"/>
        <v/>
      </c>
      <c r="X43" s="2">
        <f t="shared" si="11"/>
        <v>0</v>
      </c>
      <c r="Y43" s="2" t="str">
        <f t="shared" ca="1" si="12"/>
        <v/>
      </c>
      <c r="Z43" s="1" t="str">
        <f t="shared" ca="1" si="13"/>
        <v/>
      </c>
      <c r="AA43" s="2" t="str">
        <f t="shared" ca="1" si="14"/>
        <v/>
      </c>
      <c r="AB43" s="2" t="str">
        <f t="shared" ca="1" si="15"/>
        <v/>
      </c>
      <c r="AC43" s="1" t="str">
        <f t="shared" ca="1" si="16"/>
        <v/>
      </c>
      <c r="AD43" t="str">
        <f t="shared" si="17"/>
        <v/>
      </c>
    </row>
    <row r="44" spans="1:30" s="2" customFormat="1">
      <c r="A44" s="30" t="str">
        <f t="shared" si="9"/>
        <v/>
      </c>
      <c r="B44" s="14"/>
      <c r="C44" s="4"/>
      <c r="D44" s="4"/>
      <c r="E44" s="4"/>
      <c r="F44" s="4"/>
      <c r="G44" s="4"/>
      <c r="H44" s="15"/>
      <c r="I44" s="14"/>
      <c r="J44" s="4"/>
      <c r="K44" s="4"/>
      <c r="L44" s="4"/>
      <c r="M44" s="4"/>
      <c r="N44" s="4"/>
      <c r="O44" s="13"/>
      <c r="P44" s="20"/>
      <c r="Q44" s="4"/>
      <c r="R44" s="66"/>
      <c r="S44" s="5"/>
      <c r="T44" s="59"/>
      <c r="U44" s="62"/>
      <c r="V44" s="53"/>
      <c r="W44" s="2" t="str">
        <f t="shared" ca="1" si="10"/>
        <v/>
      </c>
      <c r="X44" s="2">
        <f t="shared" si="11"/>
        <v>0</v>
      </c>
      <c r="Y44" s="2" t="str">
        <f t="shared" ca="1" si="12"/>
        <v/>
      </c>
      <c r="Z44" s="1" t="str">
        <f t="shared" ca="1" si="13"/>
        <v/>
      </c>
      <c r="AA44" s="2" t="str">
        <f t="shared" ca="1" si="14"/>
        <v/>
      </c>
      <c r="AB44" s="2" t="str">
        <f t="shared" ca="1" si="15"/>
        <v/>
      </c>
      <c r="AC44" s="1" t="str">
        <f t="shared" ca="1" si="16"/>
        <v/>
      </c>
      <c r="AD44" t="str">
        <f t="shared" si="17"/>
        <v/>
      </c>
    </row>
    <row r="45" spans="1:30" s="2" customFormat="1">
      <c r="A45" s="30" t="str">
        <f t="shared" si="9"/>
        <v/>
      </c>
      <c r="B45" s="14"/>
      <c r="C45" s="4"/>
      <c r="D45" s="4"/>
      <c r="E45" s="4"/>
      <c r="F45" s="4"/>
      <c r="G45" s="4"/>
      <c r="H45" s="15"/>
      <c r="I45" s="14"/>
      <c r="J45" s="4"/>
      <c r="K45" s="4"/>
      <c r="L45" s="4"/>
      <c r="M45" s="4"/>
      <c r="N45" s="4"/>
      <c r="O45" s="13"/>
      <c r="P45" s="20"/>
      <c r="Q45" s="4"/>
      <c r="R45" s="66"/>
      <c r="S45" s="5"/>
      <c r="T45" s="59"/>
      <c r="U45" s="62"/>
      <c r="V45" s="53"/>
      <c r="W45" s="2" t="str">
        <f t="shared" ca="1" si="10"/>
        <v/>
      </c>
      <c r="X45" s="2">
        <f t="shared" si="11"/>
        <v>0</v>
      </c>
      <c r="Y45" s="2" t="str">
        <f t="shared" ca="1" si="12"/>
        <v/>
      </c>
      <c r="Z45" s="1" t="str">
        <f t="shared" ca="1" si="13"/>
        <v/>
      </c>
      <c r="AA45" s="2" t="str">
        <f t="shared" ca="1" si="14"/>
        <v/>
      </c>
      <c r="AB45" s="2" t="str">
        <f t="shared" ca="1" si="15"/>
        <v/>
      </c>
      <c r="AC45" s="1" t="str">
        <f t="shared" ca="1" si="16"/>
        <v/>
      </c>
      <c r="AD45" t="str">
        <f t="shared" si="17"/>
        <v/>
      </c>
    </row>
    <row r="46" spans="1:30" s="2" customFormat="1">
      <c r="A46" s="30" t="str">
        <f t="shared" si="9"/>
        <v/>
      </c>
      <c r="B46" s="14"/>
      <c r="C46" s="4"/>
      <c r="D46" s="4"/>
      <c r="E46" s="4"/>
      <c r="F46" s="4"/>
      <c r="G46" s="4"/>
      <c r="H46" s="15"/>
      <c r="I46" s="14"/>
      <c r="J46" s="4"/>
      <c r="K46" s="4"/>
      <c r="L46" s="4"/>
      <c r="M46" s="4"/>
      <c r="N46" s="4"/>
      <c r="O46" s="13"/>
      <c r="P46" s="20"/>
      <c r="Q46" s="4"/>
      <c r="R46" s="66"/>
      <c r="S46" s="5"/>
      <c r="T46" s="59"/>
      <c r="U46" s="62"/>
      <c r="V46" s="53"/>
      <c r="W46" s="2" t="str">
        <f t="shared" ca="1" si="10"/>
        <v/>
      </c>
      <c r="X46" s="2">
        <f t="shared" si="11"/>
        <v>0</v>
      </c>
      <c r="Y46" s="2" t="str">
        <f t="shared" ca="1" si="12"/>
        <v/>
      </c>
      <c r="Z46" s="1" t="str">
        <f t="shared" ca="1" si="13"/>
        <v/>
      </c>
      <c r="AA46" s="2" t="str">
        <f t="shared" ca="1" si="14"/>
        <v/>
      </c>
      <c r="AB46" s="2" t="str">
        <f t="shared" ca="1" si="15"/>
        <v/>
      </c>
      <c r="AC46" s="1" t="str">
        <f t="shared" ca="1" si="16"/>
        <v/>
      </c>
      <c r="AD46" t="str">
        <f t="shared" si="17"/>
        <v/>
      </c>
    </row>
    <row r="47" spans="1:30" s="2" customFormat="1">
      <c r="A47" s="30" t="str">
        <f t="shared" si="9"/>
        <v/>
      </c>
      <c r="B47" s="14"/>
      <c r="C47" s="4"/>
      <c r="D47" s="4"/>
      <c r="E47" s="4"/>
      <c r="F47" s="4"/>
      <c r="G47" s="4"/>
      <c r="H47" s="15"/>
      <c r="I47" s="14"/>
      <c r="J47" s="4"/>
      <c r="K47" s="4"/>
      <c r="L47" s="4"/>
      <c r="M47" s="4"/>
      <c r="N47" s="4"/>
      <c r="O47" s="13"/>
      <c r="P47" s="20"/>
      <c r="Q47" s="4"/>
      <c r="R47" s="66"/>
      <c r="S47" s="5"/>
      <c r="T47" s="59"/>
      <c r="U47" s="62"/>
      <c r="V47" s="53"/>
      <c r="W47" s="2" t="str">
        <f t="shared" ca="1" si="10"/>
        <v/>
      </c>
      <c r="X47" s="2">
        <f t="shared" si="11"/>
        <v>0</v>
      </c>
      <c r="Y47" s="2" t="str">
        <f t="shared" ca="1" si="12"/>
        <v/>
      </c>
      <c r="Z47" s="1" t="str">
        <f t="shared" ca="1" si="13"/>
        <v/>
      </c>
      <c r="AA47" s="2" t="str">
        <f t="shared" ca="1" si="14"/>
        <v/>
      </c>
      <c r="AB47" s="2" t="str">
        <f t="shared" ca="1" si="15"/>
        <v/>
      </c>
      <c r="AC47" s="1" t="str">
        <f t="shared" ca="1" si="16"/>
        <v/>
      </c>
      <c r="AD47" t="str">
        <f t="shared" si="17"/>
        <v/>
      </c>
    </row>
    <row r="48" spans="1:30" s="2" customFormat="1">
      <c r="A48" s="30" t="str">
        <f t="shared" si="9"/>
        <v/>
      </c>
      <c r="B48" s="14"/>
      <c r="C48" s="4"/>
      <c r="D48" s="4"/>
      <c r="E48" s="4"/>
      <c r="F48" s="4"/>
      <c r="G48" s="4"/>
      <c r="H48" s="15"/>
      <c r="I48" s="14"/>
      <c r="J48" s="4"/>
      <c r="K48" s="4"/>
      <c r="L48" s="4"/>
      <c r="M48" s="4"/>
      <c r="N48" s="4"/>
      <c r="O48" s="13"/>
      <c r="P48" s="20"/>
      <c r="Q48" s="4"/>
      <c r="R48" s="66"/>
      <c r="S48" s="5"/>
      <c r="T48" s="59"/>
      <c r="U48" s="62"/>
      <c r="V48" s="53"/>
      <c r="W48" s="2" t="str">
        <f t="shared" ca="1" si="10"/>
        <v/>
      </c>
      <c r="X48" s="2">
        <f t="shared" si="11"/>
        <v>0</v>
      </c>
      <c r="Y48" s="2" t="str">
        <f t="shared" ca="1" si="12"/>
        <v/>
      </c>
      <c r="Z48" s="1" t="str">
        <f t="shared" ca="1" si="13"/>
        <v/>
      </c>
      <c r="AA48" s="2" t="str">
        <f t="shared" ca="1" si="14"/>
        <v/>
      </c>
      <c r="AB48" s="2" t="str">
        <f t="shared" ca="1" si="15"/>
        <v/>
      </c>
      <c r="AC48" s="1" t="str">
        <f t="shared" ca="1" si="16"/>
        <v/>
      </c>
      <c r="AD48" t="str">
        <f t="shared" si="17"/>
        <v/>
      </c>
    </row>
    <row r="49" spans="1:30" s="2" customFormat="1">
      <c r="A49" s="30" t="str">
        <f t="shared" si="9"/>
        <v/>
      </c>
      <c r="B49" s="14"/>
      <c r="C49" s="4"/>
      <c r="D49" s="4"/>
      <c r="E49" s="4"/>
      <c r="F49" s="4"/>
      <c r="G49" s="4"/>
      <c r="H49" s="15"/>
      <c r="I49" s="14"/>
      <c r="J49" s="4"/>
      <c r="K49" s="4"/>
      <c r="L49" s="4"/>
      <c r="M49" s="4"/>
      <c r="N49" s="4"/>
      <c r="O49" s="13"/>
      <c r="P49" s="20"/>
      <c r="Q49" s="4"/>
      <c r="R49" s="66"/>
      <c r="S49" s="5"/>
      <c r="T49" s="59"/>
      <c r="U49" s="62"/>
      <c r="V49" s="53"/>
      <c r="W49" s="2" t="str">
        <f t="shared" ca="1" si="10"/>
        <v/>
      </c>
      <c r="X49" s="2">
        <f t="shared" si="11"/>
        <v>0</v>
      </c>
      <c r="Y49" s="2" t="str">
        <f t="shared" ca="1" si="12"/>
        <v/>
      </c>
      <c r="Z49" s="1" t="str">
        <f t="shared" ca="1" si="13"/>
        <v/>
      </c>
      <c r="AA49" s="2" t="str">
        <f t="shared" ca="1" si="14"/>
        <v/>
      </c>
      <c r="AB49" s="2" t="str">
        <f t="shared" ca="1" si="15"/>
        <v/>
      </c>
      <c r="AC49" s="1" t="str">
        <f t="shared" ca="1" si="16"/>
        <v/>
      </c>
      <c r="AD49" t="str">
        <f t="shared" si="17"/>
        <v/>
      </c>
    </row>
    <row r="50" spans="1:30" s="2" customFormat="1">
      <c r="A50" s="30" t="str">
        <f t="shared" si="9"/>
        <v/>
      </c>
      <c r="B50" s="14"/>
      <c r="C50" s="4"/>
      <c r="D50" s="4"/>
      <c r="E50" s="4"/>
      <c r="F50" s="4"/>
      <c r="G50" s="4"/>
      <c r="H50" s="15"/>
      <c r="I50" s="14"/>
      <c r="J50" s="4"/>
      <c r="K50" s="4"/>
      <c r="L50" s="4"/>
      <c r="M50" s="4"/>
      <c r="N50" s="4"/>
      <c r="O50" s="13"/>
      <c r="P50" s="20"/>
      <c r="Q50" s="4"/>
      <c r="R50" s="66"/>
      <c r="S50" s="5"/>
      <c r="T50" s="59"/>
      <c r="U50" s="62"/>
      <c r="V50" s="53"/>
      <c r="W50" s="2" t="str">
        <f t="shared" ca="1" si="10"/>
        <v/>
      </c>
      <c r="X50" s="2">
        <f t="shared" si="11"/>
        <v>0</v>
      </c>
      <c r="Y50" s="2" t="str">
        <f t="shared" ca="1" si="12"/>
        <v/>
      </c>
      <c r="Z50" s="1" t="str">
        <f t="shared" ca="1" si="13"/>
        <v/>
      </c>
      <c r="AA50" s="2" t="str">
        <f t="shared" ca="1" si="14"/>
        <v/>
      </c>
      <c r="AB50" s="2" t="str">
        <f t="shared" ca="1" si="15"/>
        <v/>
      </c>
      <c r="AC50" s="1" t="str">
        <f t="shared" ca="1" si="16"/>
        <v/>
      </c>
      <c r="AD50" t="str">
        <f t="shared" si="17"/>
        <v/>
      </c>
    </row>
    <row r="51" spans="1:30" s="2" customFormat="1">
      <c r="A51" s="30" t="str">
        <f t="shared" si="9"/>
        <v/>
      </c>
      <c r="B51" s="14"/>
      <c r="C51" s="4"/>
      <c r="D51" s="4"/>
      <c r="E51" s="4"/>
      <c r="F51" s="4"/>
      <c r="G51" s="4"/>
      <c r="H51" s="15"/>
      <c r="I51" s="14"/>
      <c r="J51" s="4"/>
      <c r="K51" s="4"/>
      <c r="L51" s="4"/>
      <c r="M51" s="4"/>
      <c r="N51" s="4"/>
      <c r="O51" s="13"/>
      <c r="P51" s="20"/>
      <c r="Q51" s="4"/>
      <c r="R51" s="66"/>
      <c r="S51" s="5"/>
      <c r="T51" s="59"/>
      <c r="U51" s="62"/>
      <c r="V51" s="53"/>
      <c r="W51" s="2" t="str">
        <f t="shared" ca="1" si="10"/>
        <v/>
      </c>
      <c r="X51" s="2">
        <f t="shared" si="11"/>
        <v>0</v>
      </c>
      <c r="Y51" s="2" t="str">
        <f t="shared" ca="1" si="12"/>
        <v/>
      </c>
      <c r="Z51" s="1" t="str">
        <f t="shared" ca="1" si="13"/>
        <v/>
      </c>
      <c r="AA51" s="2" t="str">
        <f t="shared" ca="1" si="14"/>
        <v/>
      </c>
      <c r="AB51" s="2" t="str">
        <f t="shared" ca="1" si="15"/>
        <v/>
      </c>
      <c r="AC51" s="1" t="str">
        <f t="shared" ca="1" si="16"/>
        <v/>
      </c>
      <c r="AD51" t="str">
        <f t="shared" si="17"/>
        <v/>
      </c>
    </row>
    <row r="52" spans="1:30" s="2" customFormat="1">
      <c r="A52" s="30" t="str">
        <f t="shared" si="9"/>
        <v/>
      </c>
      <c r="B52" s="14"/>
      <c r="C52" s="4"/>
      <c r="D52" s="4"/>
      <c r="E52" s="4"/>
      <c r="F52" s="4"/>
      <c r="G52" s="4"/>
      <c r="H52" s="15"/>
      <c r="I52" s="14"/>
      <c r="J52" s="4"/>
      <c r="K52" s="4"/>
      <c r="L52" s="4"/>
      <c r="M52" s="4"/>
      <c r="N52" s="4"/>
      <c r="O52" s="13"/>
      <c r="P52" s="20"/>
      <c r="Q52" s="4"/>
      <c r="R52" s="66"/>
      <c r="S52" s="5"/>
      <c r="T52" s="59"/>
      <c r="U52" s="62"/>
      <c r="V52" s="53"/>
      <c r="W52" s="2" t="str">
        <f t="shared" ca="1" si="10"/>
        <v/>
      </c>
      <c r="X52" s="2">
        <f t="shared" si="11"/>
        <v>0</v>
      </c>
      <c r="Y52" s="2" t="str">
        <f t="shared" ca="1" si="12"/>
        <v/>
      </c>
      <c r="Z52" s="1" t="str">
        <f t="shared" ca="1" si="13"/>
        <v/>
      </c>
      <c r="AA52" s="2" t="str">
        <f t="shared" ca="1" si="14"/>
        <v/>
      </c>
      <c r="AB52" s="2" t="str">
        <f t="shared" ca="1" si="15"/>
        <v/>
      </c>
      <c r="AC52" s="1" t="str">
        <f t="shared" ca="1" si="16"/>
        <v/>
      </c>
      <c r="AD52" t="str">
        <f t="shared" si="17"/>
        <v/>
      </c>
    </row>
    <row r="53" spans="1:30" s="2" customFormat="1">
      <c r="A53" s="30" t="str">
        <f t="shared" si="9"/>
        <v/>
      </c>
      <c r="B53" s="14"/>
      <c r="C53" s="4"/>
      <c r="D53" s="4"/>
      <c r="E53" s="4"/>
      <c r="F53" s="4"/>
      <c r="G53" s="4"/>
      <c r="H53" s="15"/>
      <c r="I53" s="14"/>
      <c r="J53" s="4"/>
      <c r="K53" s="4"/>
      <c r="L53" s="4"/>
      <c r="M53" s="4"/>
      <c r="N53" s="4"/>
      <c r="O53" s="13"/>
      <c r="P53" s="20"/>
      <c r="Q53" s="4"/>
      <c r="R53" s="66"/>
      <c r="S53" s="5"/>
      <c r="T53" s="59"/>
      <c r="U53" s="62"/>
      <c r="V53" s="53"/>
      <c r="W53" s="2" t="str">
        <f t="shared" ca="1" si="10"/>
        <v/>
      </c>
      <c r="X53" s="2">
        <f t="shared" si="11"/>
        <v>0</v>
      </c>
      <c r="Y53" s="2" t="str">
        <f t="shared" ca="1" si="12"/>
        <v/>
      </c>
      <c r="Z53" s="1" t="str">
        <f t="shared" ca="1" si="13"/>
        <v/>
      </c>
      <c r="AA53" s="2" t="str">
        <f t="shared" ca="1" si="14"/>
        <v/>
      </c>
      <c r="AB53" s="2" t="str">
        <f t="shared" ca="1" si="15"/>
        <v/>
      </c>
      <c r="AC53" s="1" t="str">
        <f t="shared" ca="1" si="16"/>
        <v/>
      </c>
      <c r="AD53" t="str">
        <f t="shared" si="17"/>
        <v/>
      </c>
    </row>
    <row r="54" spans="1:30" s="2" customFormat="1">
      <c r="A54" s="30" t="str">
        <f t="shared" si="9"/>
        <v/>
      </c>
      <c r="B54" s="14"/>
      <c r="C54" s="4"/>
      <c r="D54" s="4"/>
      <c r="E54" s="4"/>
      <c r="F54" s="4"/>
      <c r="G54" s="4"/>
      <c r="H54" s="15"/>
      <c r="I54" s="14"/>
      <c r="J54" s="4"/>
      <c r="K54" s="4"/>
      <c r="L54" s="4"/>
      <c r="M54" s="4"/>
      <c r="N54" s="4"/>
      <c r="O54" s="13"/>
      <c r="P54" s="20"/>
      <c r="Q54" s="4"/>
      <c r="R54" s="66"/>
      <c r="S54" s="5"/>
      <c r="T54" s="59"/>
      <c r="U54" s="62"/>
      <c r="V54" s="53"/>
      <c r="W54" s="2" t="str">
        <f t="shared" ca="1" si="10"/>
        <v/>
      </c>
      <c r="X54" s="2">
        <f t="shared" si="11"/>
        <v>0</v>
      </c>
      <c r="Y54" s="2" t="str">
        <f t="shared" ca="1" si="12"/>
        <v/>
      </c>
      <c r="Z54" s="1" t="str">
        <f t="shared" ca="1" si="13"/>
        <v/>
      </c>
      <c r="AA54" s="2" t="str">
        <f t="shared" ca="1" si="14"/>
        <v/>
      </c>
      <c r="AB54" s="2" t="str">
        <f t="shared" ca="1" si="15"/>
        <v/>
      </c>
      <c r="AC54" s="1" t="str">
        <f t="shared" ca="1" si="16"/>
        <v/>
      </c>
      <c r="AD54" t="str">
        <f t="shared" si="17"/>
        <v/>
      </c>
    </row>
    <row r="55" spans="1:30" s="2" customFormat="1">
      <c r="A55" s="30" t="str">
        <f t="shared" si="9"/>
        <v/>
      </c>
      <c r="B55" s="14"/>
      <c r="C55" s="4"/>
      <c r="D55" s="4"/>
      <c r="E55" s="4"/>
      <c r="F55" s="4"/>
      <c r="G55" s="4"/>
      <c r="H55" s="15"/>
      <c r="I55" s="14"/>
      <c r="J55" s="4"/>
      <c r="K55" s="4"/>
      <c r="L55" s="4"/>
      <c r="M55" s="4"/>
      <c r="N55" s="4"/>
      <c r="O55" s="13"/>
      <c r="P55" s="20"/>
      <c r="Q55" s="4"/>
      <c r="R55" s="66"/>
      <c r="S55" s="5"/>
      <c r="T55" s="59"/>
      <c r="U55" s="62"/>
      <c r="V55" s="53"/>
      <c r="W55" s="2" t="str">
        <f t="shared" ca="1" si="10"/>
        <v/>
      </c>
      <c r="X55" s="2">
        <f t="shared" si="11"/>
        <v>0</v>
      </c>
      <c r="Y55" s="2" t="str">
        <f t="shared" ca="1" si="12"/>
        <v/>
      </c>
      <c r="Z55" s="1" t="str">
        <f t="shared" ca="1" si="13"/>
        <v/>
      </c>
      <c r="AA55" s="2" t="str">
        <f t="shared" ca="1" si="14"/>
        <v/>
      </c>
      <c r="AB55" s="2" t="str">
        <f t="shared" ca="1" si="15"/>
        <v/>
      </c>
      <c r="AC55" s="1" t="str">
        <f t="shared" ca="1" si="16"/>
        <v/>
      </c>
      <c r="AD55" t="str">
        <f t="shared" si="17"/>
        <v/>
      </c>
    </row>
    <row r="56" spans="1:30" s="2" customFormat="1">
      <c r="A56" s="30" t="str">
        <f t="shared" si="9"/>
        <v/>
      </c>
      <c r="B56" s="14"/>
      <c r="C56" s="4"/>
      <c r="D56" s="4"/>
      <c r="E56" s="4"/>
      <c r="F56" s="4"/>
      <c r="G56" s="4"/>
      <c r="H56" s="15"/>
      <c r="I56" s="14"/>
      <c r="J56" s="4"/>
      <c r="K56" s="4"/>
      <c r="L56" s="4"/>
      <c r="M56" s="4"/>
      <c r="N56" s="4"/>
      <c r="O56" s="13"/>
      <c r="P56" s="20"/>
      <c r="Q56" s="4"/>
      <c r="R56" s="66"/>
      <c r="S56" s="5"/>
      <c r="T56" s="59"/>
      <c r="U56" s="62"/>
      <c r="V56" s="53"/>
      <c r="W56" s="2" t="str">
        <f t="shared" ca="1" si="10"/>
        <v/>
      </c>
      <c r="X56" s="2">
        <f t="shared" si="11"/>
        <v>0</v>
      </c>
      <c r="Y56" s="2" t="str">
        <f t="shared" ca="1" si="12"/>
        <v/>
      </c>
      <c r="Z56" s="1" t="str">
        <f t="shared" ca="1" si="13"/>
        <v/>
      </c>
      <c r="AA56" s="2" t="str">
        <f t="shared" ca="1" si="14"/>
        <v/>
      </c>
      <c r="AB56" s="2" t="str">
        <f t="shared" ca="1" si="15"/>
        <v/>
      </c>
      <c r="AC56" s="1" t="str">
        <f t="shared" ca="1" si="16"/>
        <v/>
      </c>
      <c r="AD56" t="str">
        <f t="shared" si="17"/>
        <v/>
      </c>
    </row>
    <row r="57" spans="1:30" s="2" customFormat="1">
      <c r="A57" s="30" t="str">
        <f t="shared" si="9"/>
        <v/>
      </c>
      <c r="B57" s="14"/>
      <c r="C57" s="4"/>
      <c r="D57" s="4"/>
      <c r="E57" s="4"/>
      <c r="F57" s="4"/>
      <c r="G57" s="4"/>
      <c r="H57" s="15"/>
      <c r="I57" s="14"/>
      <c r="J57" s="4"/>
      <c r="K57" s="4"/>
      <c r="L57" s="4"/>
      <c r="M57" s="4"/>
      <c r="N57" s="4"/>
      <c r="O57" s="13"/>
      <c r="P57" s="20"/>
      <c r="Q57" s="4"/>
      <c r="R57" s="66"/>
      <c r="S57" s="5"/>
      <c r="T57" s="59"/>
      <c r="U57" s="62"/>
      <c r="V57" s="53"/>
      <c r="W57" s="2" t="str">
        <f t="shared" ca="1" si="10"/>
        <v/>
      </c>
      <c r="X57" s="2">
        <f t="shared" si="11"/>
        <v>0</v>
      </c>
      <c r="Y57" s="2" t="str">
        <f t="shared" ca="1" si="12"/>
        <v/>
      </c>
      <c r="Z57" s="1" t="str">
        <f t="shared" ca="1" si="13"/>
        <v/>
      </c>
      <c r="AA57" s="2" t="str">
        <f t="shared" ca="1" si="14"/>
        <v/>
      </c>
      <c r="AB57" s="2" t="str">
        <f t="shared" ca="1" si="15"/>
        <v/>
      </c>
      <c r="AC57" s="1" t="str">
        <f t="shared" ca="1" si="16"/>
        <v/>
      </c>
      <c r="AD57" t="str">
        <f t="shared" si="17"/>
        <v/>
      </c>
    </row>
    <row r="58" spans="1:30" s="2" customFormat="1">
      <c r="A58" s="30" t="str">
        <f t="shared" si="9"/>
        <v/>
      </c>
      <c r="B58" s="14"/>
      <c r="C58" s="4"/>
      <c r="D58" s="4"/>
      <c r="E58" s="4"/>
      <c r="F58" s="4"/>
      <c r="G58" s="4"/>
      <c r="H58" s="15"/>
      <c r="I58" s="14"/>
      <c r="J58" s="4"/>
      <c r="K58" s="4"/>
      <c r="L58" s="4"/>
      <c r="M58" s="4"/>
      <c r="N58" s="4"/>
      <c r="O58" s="13"/>
      <c r="P58" s="20"/>
      <c r="Q58" s="4"/>
      <c r="R58" s="66"/>
      <c r="S58" s="5"/>
      <c r="T58" s="59"/>
      <c r="U58" s="62"/>
      <c r="V58" s="53"/>
      <c r="W58" s="2" t="str">
        <f t="shared" ca="1" si="10"/>
        <v/>
      </c>
      <c r="X58" s="2">
        <f t="shared" si="11"/>
        <v>0</v>
      </c>
      <c r="Y58" s="2" t="str">
        <f t="shared" ca="1" si="12"/>
        <v/>
      </c>
      <c r="Z58" s="1" t="str">
        <f t="shared" ca="1" si="13"/>
        <v/>
      </c>
      <c r="AA58" s="2" t="str">
        <f t="shared" ca="1" si="14"/>
        <v/>
      </c>
      <c r="AB58" s="2" t="str">
        <f t="shared" ca="1" si="15"/>
        <v/>
      </c>
      <c r="AC58" s="1" t="str">
        <f t="shared" ca="1" si="16"/>
        <v/>
      </c>
      <c r="AD58" t="str">
        <f t="shared" si="17"/>
        <v/>
      </c>
    </row>
    <row r="59" spans="1:30" s="2" customFormat="1">
      <c r="A59" s="30" t="str">
        <f t="shared" si="9"/>
        <v/>
      </c>
      <c r="B59" s="14"/>
      <c r="C59" s="4"/>
      <c r="D59" s="4"/>
      <c r="E59" s="4"/>
      <c r="F59" s="4"/>
      <c r="G59" s="4"/>
      <c r="H59" s="15"/>
      <c r="I59" s="14"/>
      <c r="J59" s="4"/>
      <c r="K59" s="4"/>
      <c r="L59" s="4"/>
      <c r="M59" s="4"/>
      <c r="N59" s="4"/>
      <c r="O59" s="13"/>
      <c r="P59" s="20"/>
      <c r="Q59" s="4"/>
      <c r="R59" s="66"/>
      <c r="S59" s="5"/>
      <c r="T59" s="59"/>
      <c r="U59" s="62"/>
      <c r="V59" s="53"/>
      <c r="W59" s="2" t="str">
        <f t="shared" ca="1" si="10"/>
        <v/>
      </c>
      <c r="X59" s="2">
        <f t="shared" si="11"/>
        <v>0</v>
      </c>
      <c r="Y59" s="2" t="str">
        <f t="shared" ca="1" si="12"/>
        <v/>
      </c>
      <c r="Z59" s="1" t="str">
        <f t="shared" ca="1" si="13"/>
        <v/>
      </c>
      <c r="AA59" s="2" t="str">
        <f t="shared" ca="1" si="14"/>
        <v/>
      </c>
      <c r="AB59" s="2" t="str">
        <f t="shared" ca="1" si="15"/>
        <v/>
      </c>
      <c r="AC59" s="1" t="str">
        <f t="shared" ca="1" si="16"/>
        <v/>
      </c>
      <c r="AD59" t="str">
        <f t="shared" si="17"/>
        <v/>
      </c>
    </row>
    <row r="60" spans="1:30" s="2" customFormat="1">
      <c r="A60" s="30" t="str">
        <f t="shared" si="9"/>
        <v/>
      </c>
      <c r="B60" s="14"/>
      <c r="C60" s="4"/>
      <c r="D60" s="4"/>
      <c r="E60" s="4"/>
      <c r="F60" s="4"/>
      <c r="G60" s="4"/>
      <c r="H60" s="15"/>
      <c r="I60" s="14"/>
      <c r="J60" s="4"/>
      <c r="K60" s="4"/>
      <c r="L60" s="4"/>
      <c r="M60" s="4"/>
      <c r="N60" s="4"/>
      <c r="O60" s="13"/>
      <c r="P60" s="20"/>
      <c r="Q60" s="4"/>
      <c r="R60" s="66"/>
      <c r="S60" s="5"/>
      <c r="T60" s="59"/>
      <c r="U60" s="62"/>
      <c r="V60" s="53"/>
      <c r="W60" s="2" t="str">
        <f t="shared" ca="1" si="10"/>
        <v/>
      </c>
      <c r="X60" s="2">
        <f t="shared" si="11"/>
        <v>0</v>
      </c>
      <c r="Y60" s="2" t="str">
        <f t="shared" ca="1" si="12"/>
        <v/>
      </c>
      <c r="Z60" s="1" t="str">
        <f t="shared" ca="1" si="13"/>
        <v/>
      </c>
      <c r="AA60" s="2" t="str">
        <f t="shared" ca="1" si="14"/>
        <v/>
      </c>
      <c r="AB60" s="2" t="str">
        <f t="shared" ca="1" si="15"/>
        <v/>
      </c>
      <c r="AC60" s="1" t="str">
        <f t="shared" ca="1" si="16"/>
        <v/>
      </c>
      <c r="AD60" t="str">
        <f t="shared" si="17"/>
        <v/>
      </c>
    </row>
    <row r="61" spans="1:30" s="2" customFormat="1">
      <c r="A61" s="30" t="str">
        <f t="shared" si="9"/>
        <v/>
      </c>
      <c r="B61" s="14"/>
      <c r="C61" s="4"/>
      <c r="D61" s="4"/>
      <c r="E61" s="4"/>
      <c r="F61" s="4"/>
      <c r="G61" s="4"/>
      <c r="H61" s="15"/>
      <c r="I61" s="14"/>
      <c r="J61" s="4"/>
      <c r="K61" s="4"/>
      <c r="L61" s="4"/>
      <c r="M61" s="4"/>
      <c r="N61" s="4"/>
      <c r="O61" s="13"/>
      <c r="P61" s="20"/>
      <c r="Q61" s="4"/>
      <c r="R61" s="66"/>
      <c r="S61" s="5"/>
      <c r="T61" s="59"/>
      <c r="U61" s="62"/>
      <c r="V61" s="53"/>
      <c r="W61" s="2" t="str">
        <f t="shared" ca="1" si="10"/>
        <v/>
      </c>
      <c r="X61" s="2">
        <f t="shared" si="11"/>
        <v>0</v>
      </c>
      <c r="Y61" s="2" t="str">
        <f t="shared" ca="1" si="12"/>
        <v/>
      </c>
      <c r="Z61" s="1" t="str">
        <f t="shared" ca="1" si="13"/>
        <v/>
      </c>
      <c r="AA61" s="2" t="str">
        <f t="shared" ca="1" si="14"/>
        <v/>
      </c>
      <c r="AB61" s="2" t="str">
        <f t="shared" ca="1" si="15"/>
        <v/>
      </c>
      <c r="AC61" s="1" t="str">
        <f t="shared" ca="1" si="16"/>
        <v/>
      </c>
      <c r="AD61" t="str">
        <f t="shared" si="17"/>
        <v/>
      </c>
    </row>
    <row r="62" spans="1:30" s="2" customFormat="1">
      <c r="A62" s="30" t="str">
        <f t="shared" si="9"/>
        <v/>
      </c>
      <c r="B62" s="14"/>
      <c r="C62" s="4"/>
      <c r="D62" s="4"/>
      <c r="E62" s="4"/>
      <c r="F62" s="4"/>
      <c r="G62" s="4"/>
      <c r="H62" s="15"/>
      <c r="I62" s="14"/>
      <c r="J62" s="4"/>
      <c r="K62" s="4"/>
      <c r="L62" s="4"/>
      <c r="M62" s="4"/>
      <c r="N62" s="4"/>
      <c r="O62" s="13"/>
      <c r="P62" s="20"/>
      <c r="Q62" s="4"/>
      <c r="R62" s="66"/>
      <c r="S62" s="5"/>
      <c r="T62" s="59"/>
      <c r="U62" s="62"/>
      <c r="V62" s="53"/>
      <c r="W62" s="2" t="str">
        <f t="shared" ca="1" si="10"/>
        <v/>
      </c>
      <c r="X62" s="2">
        <f t="shared" si="11"/>
        <v>0</v>
      </c>
      <c r="Y62" s="2" t="str">
        <f t="shared" ca="1" si="12"/>
        <v/>
      </c>
      <c r="Z62" s="1" t="str">
        <f t="shared" ca="1" si="13"/>
        <v/>
      </c>
      <c r="AA62" s="2" t="str">
        <f t="shared" ca="1" si="14"/>
        <v/>
      </c>
      <c r="AB62" s="2" t="str">
        <f t="shared" ca="1" si="15"/>
        <v/>
      </c>
      <c r="AC62" s="1" t="str">
        <f t="shared" ca="1" si="16"/>
        <v/>
      </c>
      <c r="AD62" t="str">
        <f t="shared" si="17"/>
        <v/>
      </c>
    </row>
    <row r="63" spans="1:30" s="2" customFormat="1">
      <c r="A63" s="30" t="str">
        <f t="shared" si="9"/>
        <v/>
      </c>
      <c r="B63" s="14"/>
      <c r="C63" s="4"/>
      <c r="D63" s="4"/>
      <c r="E63" s="4"/>
      <c r="F63" s="4"/>
      <c r="G63" s="4"/>
      <c r="H63" s="15"/>
      <c r="I63" s="14"/>
      <c r="J63" s="4"/>
      <c r="K63" s="4"/>
      <c r="L63" s="4"/>
      <c r="M63" s="4"/>
      <c r="N63" s="4"/>
      <c r="O63" s="13"/>
      <c r="P63" s="20"/>
      <c r="Q63" s="4"/>
      <c r="R63" s="66"/>
      <c r="S63" s="5"/>
      <c r="T63" s="59"/>
      <c r="U63" s="62"/>
      <c r="V63" s="53"/>
      <c r="W63" s="2" t="str">
        <f t="shared" ca="1" si="10"/>
        <v/>
      </c>
      <c r="X63" s="2">
        <f t="shared" si="11"/>
        <v>0</v>
      </c>
      <c r="Y63" s="2" t="str">
        <f t="shared" ca="1" si="12"/>
        <v/>
      </c>
      <c r="Z63" s="1" t="str">
        <f t="shared" ca="1" si="13"/>
        <v/>
      </c>
      <c r="AA63" s="2" t="str">
        <f t="shared" ca="1" si="14"/>
        <v/>
      </c>
      <c r="AB63" s="2" t="str">
        <f t="shared" ca="1" si="15"/>
        <v/>
      </c>
      <c r="AC63" s="1" t="str">
        <f t="shared" ca="1" si="16"/>
        <v/>
      </c>
      <c r="AD63" t="str">
        <f t="shared" si="17"/>
        <v/>
      </c>
    </row>
    <row r="64" spans="1:30" s="2" customFormat="1">
      <c r="A64" s="30" t="str">
        <f t="shared" si="9"/>
        <v/>
      </c>
      <c r="B64" s="14"/>
      <c r="C64" s="4"/>
      <c r="D64" s="4"/>
      <c r="E64" s="4"/>
      <c r="F64" s="4"/>
      <c r="G64" s="4"/>
      <c r="H64" s="15"/>
      <c r="I64" s="14"/>
      <c r="J64" s="4"/>
      <c r="K64" s="4"/>
      <c r="L64" s="4"/>
      <c r="M64" s="4"/>
      <c r="N64" s="4"/>
      <c r="O64" s="13"/>
      <c r="P64" s="20"/>
      <c r="Q64" s="4"/>
      <c r="R64" s="66"/>
      <c r="S64" s="5"/>
      <c r="T64" s="59"/>
      <c r="U64" s="62"/>
      <c r="V64" s="53"/>
      <c r="W64" s="2" t="str">
        <f t="shared" ca="1" si="10"/>
        <v/>
      </c>
      <c r="X64" s="2">
        <f t="shared" si="11"/>
        <v>0</v>
      </c>
      <c r="Y64" s="2" t="str">
        <f t="shared" ca="1" si="12"/>
        <v/>
      </c>
      <c r="Z64" s="1" t="str">
        <f t="shared" ca="1" si="13"/>
        <v/>
      </c>
      <c r="AA64" s="2" t="str">
        <f t="shared" ca="1" si="14"/>
        <v/>
      </c>
      <c r="AB64" s="2" t="str">
        <f t="shared" ca="1" si="15"/>
        <v/>
      </c>
      <c r="AC64" s="1" t="str">
        <f t="shared" ca="1" si="16"/>
        <v/>
      </c>
      <c r="AD64" t="str">
        <f t="shared" si="17"/>
        <v/>
      </c>
    </row>
    <row r="65" spans="1:30" s="2" customFormat="1">
      <c r="A65" s="30" t="str">
        <f t="shared" si="9"/>
        <v/>
      </c>
      <c r="B65" s="14"/>
      <c r="C65" s="4"/>
      <c r="D65" s="4"/>
      <c r="E65" s="4"/>
      <c r="F65" s="4"/>
      <c r="G65" s="4"/>
      <c r="H65" s="15"/>
      <c r="I65" s="14"/>
      <c r="J65" s="4"/>
      <c r="K65" s="4"/>
      <c r="L65" s="4"/>
      <c r="M65" s="4"/>
      <c r="N65" s="4"/>
      <c r="O65" s="13"/>
      <c r="P65" s="20"/>
      <c r="Q65" s="4"/>
      <c r="R65" s="66"/>
      <c r="S65" s="5"/>
      <c r="T65" s="59"/>
      <c r="U65" s="62"/>
      <c r="V65" s="53"/>
      <c r="W65" s="2" t="str">
        <f t="shared" ca="1" si="10"/>
        <v/>
      </c>
      <c r="X65" s="2">
        <f t="shared" si="11"/>
        <v>0</v>
      </c>
      <c r="Y65" s="2" t="str">
        <f t="shared" ca="1" si="12"/>
        <v/>
      </c>
      <c r="Z65" s="1" t="str">
        <f t="shared" ca="1" si="13"/>
        <v/>
      </c>
      <c r="AA65" s="2" t="str">
        <f t="shared" ca="1" si="14"/>
        <v/>
      </c>
      <c r="AB65" s="2" t="str">
        <f t="shared" ca="1" si="15"/>
        <v/>
      </c>
      <c r="AC65" s="1" t="str">
        <f t="shared" ca="1" si="16"/>
        <v/>
      </c>
      <c r="AD65" t="str">
        <f t="shared" si="17"/>
        <v/>
      </c>
    </row>
    <row r="66" spans="1:30" s="2" customFormat="1">
      <c r="A66" s="30" t="str">
        <f t="shared" si="9"/>
        <v/>
      </c>
      <c r="B66" s="14"/>
      <c r="C66" s="4"/>
      <c r="D66" s="4"/>
      <c r="E66" s="4"/>
      <c r="F66" s="4"/>
      <c r="G66" s="4"/>
      <c r="H66" s="15"/>
      <c r="I66" s="14"/>
      <c r="J66" s="4"/>
      <c r="K66" s="4"/>
      <c r="L66" s="4"/>
      <c r="M66" s="4"/>
      <c r="N66" s="4"/>
      <c r="O66" s="13"/>
      <c r="P66" s="20"/>
      <c r="Q66" s="4"/>
      <c r="R66" s="66"/>
      <c r="S66" s="5"/>
      <c r="T66" s="59"/>
      <c r="U66" s="62"/>
      <c r="V66" s="53"/>
      <c r="W66" s="2" t="str">
        <f t="shared" ca="1" si="10"/>
        <v/>
      </c>
      <c r="X66" s="2">
        <f t="shared" si="11"/>
        <v>0</v>
      </c>
      <c r="Y66" s="2" t="str">
        <f t="shared" ca="1" si="12"/>
        <v/>
      </c>
      <c r="Z66" s="1" t="str">
        <f t="shared" ca="1" si="13"/>
        <v/>
      </c>
      <c r="AA66" s="2" t="str">
        <f t="shared" ca="1" si="14"/>
        <v/>
      </c>
      <c r="AB66" s="2" t="str">
        <f t="shared" ca="1" si="15"/>
        <v/>
      </c>
      <c r="AC66" s="1" t="str">
        <f t="shared" ca="1" si="16"/>
        <v/>
      </c>
      <c r="AD66" t="str">
        <f t="shared" si="17"/>
        <v/>
      </c>
    </row>
    <row r="67" spans="1:30" s="2" customFormat="1">
      <c r="A67" s="30" t="str">
        <f t="shared" si="9"/>
        <v/>
      </c>
      <c r="B67" s="14"/>
      <c r="C67" s="4"/>
      <c r="D67" s="4"/>
      <c r="E67" s="4"/>
      <c r="F67" s="4"/>
      <c r="G67" s="4"/>
      <c r="H67" s="15"/>
      <c r="I67" s="14"/>
      <c r="J67" s="4"/>
      <c r="K67" s="4"/>
      <c r="L67" s="4"/>
      <c r="M67" s="4"/>
      <c r="N67" s="4"/>
      <c r="O67" s="13"/>
      <c r="P67" s="20"/>
      <c r="Q67" s="4"/>
      <c r="R67" s="66"/>
      <c r="S67" s="5"/>
      <c r="T67" s="59"/>
      <c r="U67" s="62"/>
      <c r="V67" s="53"/>
      <c r="W67" s="2" t="str">
        <f t="shared" ca="1" si="10"/>
        <v/>
      </c>
      <c r="X67" s="2">
        <f t="shared" si="11"/>
        <v>0</v>
      </c>
      <c r="Y67" s="2" t="str">
        <f t="shared" ca="1" si="12"/>
        <v/>
      </c>
      <c r="Z67" s="1" t="str">
        <f t="shared" ca="1" si="13"/>
        <v/>
      </c>
      <c r="AA67" s="2" t="str">
        <f t="shared" ca="1" si="14"/>
        <v/>
      </c>
      <c r="AB67" s="2" t="str">
        <f t="shared" ca="1" si="15"/>
        <v/>
      </c>
      <c r="AC67" s="1" t="str">
        <f t="shared" ca="1" si="16"/>
        <v/>
      </c>
      <c r="AD67" t="str">
        <f t="shared" si="17"/>
        <v/>
      </c>
    </row>
    <row r="68" spans="1:30" s="2" customFormat="1">
      <c r="A68" s="30" t="str">
        <f t="shared" si="9"/>
        <v/>
      </c>
      <c r="B68" s="14"/>
      <c r="C68" s="4"/>
      <c r="D68" s="4"/>
      <c r="E68" s="4"/>
      <c r="F68" s="4"/>
      <c r="G68" s="4"/>
      <c r="H68" s="15"/>
      <c r="I68" s="14"/>
      <c r="J68" s="4"/>
      <c r="K68" s="4"/>
      <c r="L68" s="4"/>
      <c r="M68" s="4"/>
      <c r="N68" s="4"/>
      <c r="O68" s="13"/>
      <c r="P68" s="20"/>
      <c r="Q68" s="4"/>
      <c r="R68" s="66"/>
      <c r="S68" s="5"/>
      <c r="T68" s="59"/>
      <c r="U68" s="62"/>
      <c r="V68" s="53"/>
      <c r="W68" s="2" t="str">
        <f t="shared" ca="1" si="10"/>
        <v/>
      </c>
      <c r="X68" s="2">
        <f t="shared" si="11"/>
        <v>0</v>
      </c>
      <c r="Y68" s="2" t="str">
        <f t="shared" ca="1" si="12"/>
        <v/>
      </c>
      <c r="Z68" s="1" t="str">
        <f t="shared" ca="1" si="13"/>
        <v/>
      </c>
      <c r="AA68" s="2" t="str">
        <f t="shared" ca="1" si="14"/>
        <v/>
      </c>
      <c r="AB68" s="2" t="str">
        <f t="shared" ca="1" si="15"/>
        <v/>
      </c>
      <c r="AC68" s="1" t="str">
        <f t="shared" ca="1" si="16"/>
        <v/>
      </c>
      <c r="AD68" t="str">
        <f t="shared" si="17"/>
        <v/>
      </c>
    </row>
    <row r="69" spans="1:30" s="2" customFormat="1">
      <c r="A69" s="30" t="str">
        <f t="shared" ref="A69:A100" si="18">IF(NOT(COUNTA(B69:H69)),"",ROW()-4)</f>
        <v/>
      </c>
      <c r="B69" s="14"/>
      <c r="C69" s="4"/>
      <c r="D69" s="4"/>
      <c r="E69" s="4"/>
      <c r="F69" s="4"/>
      <c r="G69" s="4"/>
      <c r="H69" s="15"/>
      <c r="I69" s="14"/>
      <c r="J69" s="4"/>
      <c r="K69" s="4"/>
      <c r="L69" s="4"/>
      <c r="M69" s="4"/>
      <c r="N69" s="4"/>
      <c r="O69" s="13"/>
      <c r="P69" s="20"/>
      <c r="Q69" s="4"/>
      <c r="R69" s="66"/>
      <c r="S69" s="5"/>
      <c r="T69" s="59"/>
      <c r="U69" s="62"/>
      <c r="V69" s="53"/>
      <c r="W69" s="2" t="str">
        <f t="shared" ref="W69:W100" ca="1" si="19">IF(ISNA(VLOOKUP(P69,內容物Mapping,2,FALSE)),"",VLOOKUP(P69,內容物Mapping,2,FALSE))</f>
        <v/>
      </c>
      <c r="X69" s="2">
        <f t="shared" ref="X69:X100" si="20">IF(P69="其他",TRIM(Q69),P69)</f>
        <v>0</v>
      </c>
      <c r="Y69" s="2" t="str">
        <f t="shared" ref="Y69:Y100" ca="1" si="21">IF(ISNA(VLOOKUP(V69,未寄達處理方式Mapping,2,FALSE)),"",VLOOKUP(V69,未寄達處理方式Mapping,2,FALSE))</f>
        <v/>
      </c>
      <c r="Z69" s="1" t="str">
        <f t="shared" ref="Z69:Z100" ca="1" si="22">IF(ISNA(VLOOKUP(D69,地址類別Mapping,2,FALSE)),"",VLOOKUP(D69,地址類別Mapping,2,FALSE))</f>
        <v/>
      </c>
      <c r="AA69" s="2" t="str">
        <f t="shared" ref="AA69:AA100" ca="1" si="23">IF(ISNA(VLOOKUP(E69&amp;"-"&amp;F69,郵遞區號,2,FALSE)),"",VLOOKUP(E69&amp;"-"&amp;F69,郵遞區號,2,FALSE))</f>
        <v/>
      </c>
      <c r="AB69" s="2" t="str">
        <f t="shared" ref="AB69:AB100" ca="1" si="24">IF(ISNA(VLOOKUP(L69&amp;"-"&amp;M69,郵遞區號,2,FALSE)),"",VLOOKUP(L69&amp;"-"&amp;M69,郵遞區號,2,FALSE))</f>
        <v/>
      </c>
      <c r="AC69" s="1" t="str">
        <f t="shared" ref="AC69:AC100" ca="1" si="25">IF(ISNA(VLOOKUP(S69,箱袋種類Mapping,2,FALSE)),"",VLOOKUP(S69,箱袋種類Mapping,2,FALSE))</f>
        <v/>
      </c>
      <c r="AD69" t="str">
        <f t="shared" ref="AD69:AD100" si="26">IF(TRIM(B69)&lt;&gt;"","202","")</f>
        <v/>
      </c>
    </row>
    <row r="70" spans="1:30" s="2" customFormat="1">
      <c r="A70" s="30" t="str">
        <f t="shared" si="18"/>
        <v/>
      </c>
      <c r="B70" s="14"/>
      <c r="C70" s="4"/>
      <c r="D70" s="4"/>
      <c r="E70" s="4"/>
      <c r="F70" s="4"/>
      <c r="G70" s="4"/>
      <c r="H70" s="15"/>
      <c r="I70" s="14"/>
      <c r="J70" s="4"/>
      <c r="K70" s="4"/>
      <c r="L70" s="4"/>
      <c r="M70" s="4"/>
      <c r="N70" s="4"/>
      <c r="O70" s="13"/>
      <c r="P70" s="20"/>
      <c r="Q70" s="4"/>
      <c r="R70" s="66"/>
      <c r="S70" s="5"/>
      <c r="T70" s="59"/>
      <c r="U70" s="62"/>
      <c r="V70" s="53"/>
      <c r="W70" s="2" t="str">
        <f t="shared" ca="1" si="19"/>
        <v/>
      </c>
      <c r="X70" s="2">
        <f t="shared" si="20"/>
        <v>0</v>
      </c>
      <c r="Y70" s="2" t="str">
        <f t="shared" ca="1" si="21"/>
        <v/>
      </c>
      <c r="Z70" s="1" t="str">
        <f t="shared" ca="1" si="22"/>
        <v/>
      </c>
      <c r="AA70" s="2" t="str">
        <f t="shared" ca="1" si="23"/>
        <v/>
      </c>
      <c r="AB70" s="2" t="str">
        <f t="shared" ca="1" si="24"/>
        <v/>
      </c>
      <c r="AC70" s="1" t="str">
        <f t="shared" ca="1" si="25"/>
        <v/>
      </c>
      <c r="AD70" t="str">
        <f t="shared" si="26"/>
        <v/>
      </c>
    </row>
    <row r="71" spans="1:30" s="2" customFormat="1">
      <c r="A71" s="30" t="str">
        <f t="shared" si="18"/>
        <v/>
      </c>
      <c r="B71" s="14"/>
      <c r="C71" s="4"/>
      <c r="D71" s="4"/>
      <c r="E71" s="4"/>
      <c r="F71" s="4"/>
      <c r="G71" s="4"/>
      <c r="H71" s="15"/>
      <c r="I71" s="14"/>
      <c r="J71" s="4"/>
      <c r="K71" s="4"/>
      <c r="L71" s="4"/>
      <c r="M71" s="4"/>
      <c r="N71" s="4"/>
      <c r="O71" s="13"/>
      <c r="P71" s="20"/>
      <c r="Q71" s="4"/>
      <c r="R71" s="66"/>
      <c r="S71" s="5"/>
      <c r="T71" s="59"/>
      <c r="U71" s="62"/>
      <c r="V71" s="53"/>
      <c r="W71" s="2" t="str">
        <f t="shared" ca="1" si="19"/>
        <v/>
      </c>
      <c r="X71" s="2">
        <f t="shared" si="20"/>
        <v>0</v>
      </c>
      <c r="Y71" s="2" t="str">
        <f t="shared" ca="1" si="21"/>
        <v/>
      </c>
      <c r="Z71" s="1" t="str">
        <f t="shared" ca="1" si="22"/>
        <v/>
      </c>
      <c r="AA71" s="2" t="str">
        <f t="shared" ca="1" si="23"/>
        <v/>
      </c>
      <c r="AB71" s="2" t="str">
        <f t="shared" ca="1" si="24"/>
        <v/>
      </c>
      <c r="AC71" s="1" t="str">
        <f t="shared" ca="1" si="25"/>
        <v/>
      </c>
      <c r="AD71" t="str">
        <f t="shared" si="26"/>
        <v/>
      </c>
    </row>
    <row r="72" spans="1:30" s="2" customFormat="1">
      <c r="A72" s="30" t="str">
        <f t="shared" si="18"/>
        <v/>
      </c>
      <c r="B72" s="14"/>
      <c r="C72" s="4"/>
      <c r="D72" s="4"/>
      <c r="E72" s="4"/>
      <c r="F72" s="4"/>
      <c r="G72" s="4"/>
      <c r="H72" s="15"/>
      <c r="I72" s="14"/>
      <c r="J72" s="4"/>
      <c r="K72" s="4"/>
      <c r="L72" s="4"/>
      <c r="M72" s="4"/>
      <c r="N72" s="4"/>
      <c r="O72" s="13"/>
      <c r="P72" s="20"/>
      <c r="Q72" s="4"/>
      <c r="R72" s="66"/>
      <c r="S72" s="5"/>
      <c r="T72" s="59"/>
      <c r="U72" s="62"/>
      <c r="V72" s="53"/>
      <c r="W72" s="2" t="str">
        <f t="shared" ca="1" si="19"/>
        <v/>
      </c>
      <c r="X72" s="2">
        <f t="shared" si="20"/>
        <v>0</v>
      </c>
      <c r="Y72" s="2" t="str">
        <f t="shared" ca="1" si="21"/>
        <v/>
      </c>
      <c r="Z72" s="1" t="str">
        <f t="shared" ca="1" si="22"/>
        <v/>
      </c>
      <c r="AA72" s="2" t="str">
        <f t="shared" ca="1" si="23"/>
        <v/>
      </c>
      <c r="AB72" s="2" t="str">
        <f t="shared" ca="1" si="24"/>
        <v/>
      </c>
      <c r="AC72" s="1" t="str">
        <f t="shared" ca="1" si="25"/>
        <v/>
      </c>
      <c r="AD72" t="str">
        <f t="shared" si="26"/>
        <v/>
      </c>
    </row>
    <row r="73" spans="1:30" s="2" customFormat="1">
      <c r="A73" s="30" t="str">
        <f t="shared" si="18"/>
        <v/>
      </c>
      <c r="B73" s="14"/>
      <c r="C73" s="4"/>
      <c r="D73" s="4"/>
      <c r="E73" s="4"/>
      <c r="F73" s="4"/>
      <c r="G73" s="4"/>
      <c r="H73" s="15"/>
      <c r="I73" s="14"/>
      <c r="J73" s="4"/>
      <c r="K73" s="4"/>
      <c r="L73" s="4"/>
      <c r="M73" s="4"/>
      <c r="N73" s="4"/>
      <c r="O73" s="13"/>
      <c r="P73" s="20"/>
      <c r="Q73" s="4"/>
      <c r="R73" s="66"/>
      <c r="S73" s="5"/>
      <c r="T73" s="59"/>
      <c r="U73" s="62"/>
      <c r="V73" s="53"/>
      <c r="W73" s="2" t="str">
        <f t="shared" ca="1" si="19"/>
        <v/>
      </c>
      <c r="X73" s="2">
        <f t="shared" si="20"/>
        <v>0</v>
      </c>
      <c r="Y73" s="2" t="str">
        <f t="shared" ca="1" si="21"/>
        <v/>
      </c>
      <c r="Z73" s="1" t="str">
        <f t="shared" ca="1" si="22"/>
        <v/>
      </c>
      <c r="AA73" s="2" t="str">
        <f t="shared" ca="1" si="23"/>
        <v/>
      </c>
      <c r="AB73" s="2" t="str">
        <f t="shared" ca="1" si="24"/>
        <v/>
      </c>
      <c r="AC73" s="1" t="str">
        <f t="shared" ca="1" si="25"/>
        <v/>
      </c>
      <c r="AD73" t="str">
        <f t="shared" si="26"/>
        <v/>
      </c>
    </row>
    <row r="74" spans="1:30" s="2" customFormat="1">
      <c r="A74" s="30" t="str">
        <f t="shared" si="18"/>
        <v/>
      </c>
      <c r="B74" s="14"/>
      <c r="C74" s="4"/>
      <c r="D74" s="4"/>
      <c r="E74" s="4"/>
      <c r="F74" s="4"/>
      <c r="G74" s="4"/>
      <c r="H74" s="15"/>
      <c r="I74" s="14"/>
      <c r="J74" s="4"/>
      <c r="K74" s="4"/>
      <c r="L74" s="4"/>
      <c r="M74" s="4"/>
      <c r="N74" s="4"/>
      <c r="O74" s="13"/>
      <c r="P74" s="20"/>
      <c r="Q74" s="4"/>
      <c r="R74" s="66"/>
      <c r="S74" s="5"/>
      <c r="T74" s="59"/>
      <c r="U74" s="62"/>
      <c r="V74" s="53"/>
      <c r="W74" s="2" t="str">
        <f t="shared" ca="1" si="19"/>
        <v/>
      </c>
      <c r="X74" s="2">
        <f t="shared" si="20"/>
        <v>0</v>
      </c>
      <c r="Y74" s="2" t="str">
        <f t="shared" ca="1" si="21"/>
        <v/>
      </c>
      <c r="Z74" s="1" t="str">
        <f t="shared" ca="1" si="22"/>
        <v/>
      </c>
      <c r="AA74" s="2" t="str">
        <f t="shared" ca="1" si="23"/>
        <v/>
      </c>
      <c r="AB74" s="2" t="str">
        <f t="shared" ca="1" si="24"/>
        <v/>
      </c>
      <c r="AC74" s="1" t="str">
        <f t="shared" ca="1" si="25"/>
        <v/>
      </c>
      <c r="AD74" t="str">
        <f t="shared" si="26"/>
        <v/>
      </c>
    </row>
    <row r="75" spans="1:30" s="2" customFormat="1">
      <c r="A75" s="30" t="str">
        <f t="shared" si="18"/>
        <v/>
      </c>
      <c r="B75" s="14"/>
      <c r="C75" s="4"/>
      <c r="D75" s="4"/>
      <c r="E75" s="4"/>
      <c r="F75" s="4"/>
      <c r="G75" s="4"/>
      <c r="H75" s="15"/>
      <c r="I75" s="14"/>
      <c r="J75" s="4"/>
      <c r="K75" s="4"/>
      <c r="L75" s="4"/>
      <c r="M75" s="4"/>
      <c r="N75" s="4"/>
      <c r="O75" s="13"/>
      <c r="P75" s="20"/>
      <c r="Q75" s="4"/>
      <c r="R75" s="66"/>
      <c r="S75" s="5"/>
      <c r="T75" s="59"/>
      <c r="U75" s="62"/>
      <c r="V75" s="53"/>
      <c r="W75" s="2" t="str">
        <f t="shared" ca="1" si="19"/>
        <v/>
      </c>
      <c r="X75" s="2">
        <f t="shared" si="20"/>
        <v>0</v>
      </c>
      <c r="Y75" s="2" t="str">
        <f t="shared" ca="1" si="21"/>
        <v/>
      </c>
      <c r="Z75" s="1" t="str">
        <f t="shared" ca="1" si="22"/>
        <v/>
      </c>
      <c r="AA75" s="2" t="str">
        <f t="shared" ca="1" si="23"/>
        <v/>
      </c>
      <c r="AB75" s="2" t="str">
        <f t="shared" ca="1" si="24"/>
        <v/>
      </c>
      <c r="AC75" s="1" t="str">
        <f t="shared" ca="1" si="25"/>
        <v/>
      </c>
      <c r="AD75" t="str">
        <f t="shared" si="26"/>
        <v/>
      </c>
    </row>
    <row r="76" spans="1:30" s="2" customFormat="1">
      <c r="A76" s="30" t="str">
        <f t="shared" si="18"/>
        <v/>
      </c>
      <c r="B76" s="14"/>
      <c r="C76" s="4"/>
      <c r="D76" s="4"/>
      <c r="E76" s="4"/>
      <c r="F76" s="4"/>
      <c r="G76" s="4"/>
      <c r="H76" s="15"/>
      <c r="I76" s="14"/>
      <c r="J76" s="4"/>
      <c r="K76" s="4"/>
      <c r="L76" s="4"/>
      <c r="M76" s="4"/>
      <c r="N76" s="4"/>
      <c r="O76" s="13"/>
      <c r="P76" s="20"/>
      <c r="Q76" s="4"/>
      <c r="R76" s="66"/>
      <c r="S76" s="5"/>
      <c r="T76" s="59"/>
      <c r="U76" s="62"/>
      <c r="V76" s="53"/>
      <c r="W76" s="2" t="str">
        <f t="shared" ca="1" si="19"/>
        <v/>
      </c>
      <c r="X76" s="2">
        <f t="shared" si="20"/>
        <v>0</v>
      </c>
      <c r="Y76" s="2" t="str">
        <f t="shared" ca="1" si="21"/>
        <v/>
      </c>
      <c r="Z76" s="1" t="str">
        <f t="shared" ca="1" si="22"/>
        <v/>
      </c>
      <c r="AA76" s="2" t="str">
        <f t="shared" ca="1" si="23"/>
        <v/>
      </c>
      <c r="AB76" s="2" t="str">
        <f t="shared" ca="1" si="24"/>
        <v/>
      </c>
      <c r="AC76" s="1" t="str">
        <f t="shared" ca="1" si="25"/>
        <v/>
      </c>
      <c r="AD76" t="str">
        <f t="shared" si="26"/>
        <v/>
      </c>
    </row>
    <row r="77" spans="1:30" s="2" customFormat="1">
      <c r="A77" s="30" t="str">
        <f t="shared" si="18"/>
        <v/>
      </c>
      <c r="B77" s="14"/>
      <c r="C77" s="4"/>
      <c r="D77" s="4"/>
      <c r="E77" s="4"/>
      <c r="F77" s="4"/>
      <c r="G77" s="4"/>
      <c r="H77" s="15"/>
      <c r="I77" s="14"/>
      <c r="J77" s="4"/>
      <c r="K77" s="4"/>
      <c r="L77" s="4"/>
      <c r="M77" s="4"/>
      <c r="N77" s="4"/>
      <c r="O77" s="13"/>
      <c r="P77" s="20"/>
      <c r="Q77" s="4"/>
      <c r="R77" s="66"/>
      <c r="S77" s="5"/>
      <c r="T77" s="59"/>
      <c r="U77" s="62"/>
      <c r="V77" s="53"/>
      <c r="W77" s="2" t="str">
        <f t="shared" ca="1" si="19"/>
        <v/>
      </c>
      <c r="X77" s="2">
        <f t="shared" si="20"/>
        <v>0</v>
      </c>
      <c r="Y77" s="2" t="str">
        <f t="shared" ca="1" si="21"/>
        <v/>
      </c>
      <c r="Z77" s="1" t="str">
        <f t="shared" ca="1" si="22"/>
        <v/>
      </c>
      <c r="AA77" s="2" t="str">
        <f t="shared" ca="1" si="23"/>
        <v/>
      </c>
      <c r="AB77" s="2" t="str">
        <f t="shared" ca="1" si="24"/>
        <v/>
      </c>
      <c r="AC77" s="1" t="str">
        <f t="shared" ca="1" si="25"/>
        <v/>
      </c>
      <c r="AD77" t="str">
        <f t="shared" si="26"/>
        <v/>
      </c>
    </row>
    <row r="78" spans="1:30" s="2" customFormat="1">
      <c r="A78" s="30" t="str">
        <f t="shared" si="18"/>
        <v/>
      </c>
      <c r="B78" s="14"/>
      <c r="C78" s="4"/>
      <c r="D78" s="4"/>
      <c r="E78" s="4"/>
      <c r="F78" s="4"/>
      <c r="G78" s="4"/>
      <c r="H78" s="15"/>
      <c r="I78" s="14"/>
      <c r="J78" s="4"/>
      <c r="K78" s="4"/>
      <c r="L78" s="4"/>
      <c r="M78" s="4"/>
      <c r="N78" s="4"/>
      <c r="O78" s="13"/>
      <c r="P78" s="20"/>
      <c r="Q78" s="4"/>
      <c r="R78" s="66"/>
      <c r="S78" s="5"/>
      <c r="T78" s="59"/>
      <c r="U78" s="62"/>
      <c r="V78" s="53"/>
      <c r="W78" s="2" t="str">
        <f t="shared" ca="1" si="19"/>
        <v/>
      </c>
      <c r="X78" s="2">
        <f t="shared" si="20"/>
        <v>0</v>
      </c>
      <c r="Y78" s="2" t="str">
        <f t="shared" ca="1" si="21"/>
        <v/>
      </c>
      <c r="Z78" s="1" t="str">
        <f t="shared" ca="1" si="22"/>
        <v/>
      </c>
      <c r="AA78" s="2" t="str">
        <f t="shared" ca="1" si="23"/>
        <v/>
      </c>
      <c r="AB78" s="2" t="str">
        <f t="shared" ca="1" si="24"/>
        <v/>
      </c>
      <c r="AC78" s="1" t="str">
        <f t="shared" ca="1" si="25"/>
        <v/>
      </c>
      <c r="AD78" t="str">
        <f t="shared" si="26"/>
        <v/>
      </c>
    </row>
    <row r="79" spans="1:30" s="2" customFormat="1">
      <c r="A79" s="30" t="str">
        <f t="shared" si="18"/>
        <v/>
      </c>
      <c r="B79" s="14"/>
      <c r="C79" s="4"/>
      <c r="D79" s="4"/>
      <c r="E79" s="4"/>
      <c r="F79" s="4"/>
      <c r="G79" s="4"/>
      <c r="H79" s="15"/>
      <c r="I79" s="14"/>
      <c r="J79" s="4"/>
      <c r="K79" s="4"/>
      <c r="L79" s="4"/>
      <c r="M79" s="4"/>
      <c r="N79" s="4"/>
      <c r="O79" s="13"/>
      <c r="P79" s="20"/>
      <c r="Q79" s="4"/>
      <c r="R79" s="66"/>
      <c r="S79" s="5"/>
      <c r="T79" s="59"/>
      <c r="U79" s="62"/>
      <c r="V79" s="53"/>
      <c r="W79" s="2" t="str">
        <f t="shared" ca="1" si="19"/>
        <v/>
      </c>
      <c r="X79" s="2">
        <f t="shared" si="20"/>
        <v>0</v>
      </c>
      <c r="Y79" s="2" t="str">
        <f t="shared" ca="1" si="21"/>
        <v/>
      </c>
      <c r="Z79" s="1" t="str">
        <f t="shared" ca="1" si="22"/>
        <v/>
      </c>
      <c r="AA79" s="2" t="str">
        <f t="shared" ca="1" si="23"/>
        <v/>
      </c>
      <c r="AB79" s="2" t="str">
        <f t="shared" ca="1" si="24"/>
        <v/>
      </c>
      <c r="AC79" s="1" t="str">
        <f t="shared" ca="1" si="25"/>
        <v/>
      </c>
      <c r="AD79" t="str">
        <f t="shared" si="26"/>
        <v/>
      </c>
    </row>
    <row r="80" spans="1:30" s="2" customFormat="1">
      <c r="A80" s="30" t="str">
        <f t="shared" si="18"/>
        <v/>
      </c>
      <c r="B80" s="14"/>
      <c r="C80" s="4"/>
      <c r="D80" s="4"/>
      <c r="E80" s="4"/>
      <c r="F80" s="4"/>
      <c r="G80" s="4"/>
      <c r="H80" s="15"/>
      <c r="I80" s="14"/>
      <c r="J80" s="4"/>
      <c r="K80" s="4"/>
      <c r="L80" s="4"/>
      <c r="M80" s="4"/>
      <c r="N80" s="4"/>
      <c r="O80" s="13"/>
      <c r="P80" s="20"/>
      <c r="Q80" s="4"/>
      <c r="R80" s="66"/>
      <c r="S80" s="5"/>
      <c r="T80" s="59"/>
      <c r="U80" s="62"/>
      <c r="V80" s="53"/>
      <c r="W80" s="2" t="str">
        <f t="shared" ca="1" si="19"/>
        <v/>
      </c>
      <c r="X80" s="2">
        <f t="shared" si="20"/>
        <v>0</v>
      </c>
      <c r="Y80" s="2" t="str">
        <f t="shared" ca="1" si="21"/>
        <v/>
      </c>
      <c r="Z80" s="1" t="str">
        <f t="shared" ca="1" si="22"/>
        <v/>
      </c>
      <c r="AA80" s="2" t="str">
        <f t="shared" ca="1" si="23"/>
        <v/>
      </c>
      <c r="AB80" s="2" t="str">
        <f t="shared" ca="1" si="24"/>
        <v/>
      </c>
      <c r="AC80" s="1" t="str">
        <f t="shared" ca="1" si="25"/>
        <v/>
      </c>
      <c r="AD80" t="str">
        <f t="shared" si="26"/>
        <v/>
      </c>
    </row>
    <row r="81" spans="1:30" s="2" customFormat="1">
      <c r="A81" s="30" t="str">
        <f t="shared" si="18"/>
        <v/>
      </c>
      <c r="B81" s="14"/>
      <c r="C81" s="4"/>
      <c r="D81" s="4"/>
      <c r="E81" s="4"/>
      <c r="F81" s="4"/>
      <c r="G81" s="4"/>
      <c r="H81" s="15"/>
      <c r="I81" s="14"/>
      <c r="J81" s="4"/>
      <c r="K81" s="4"/>
      <c r="L81" s="4"/>
      <c r="M81" s="4"/>
      <c r="N81" s="4"/>
      <c r="O81" s="13"/>
      <c r="P81" s="20"/>
      <c r="Q81" s="4"/>
      <c r="R81" s="66"/>
      <c r="S81" s="5"/>
      <c r="T81" s="59"/>
      <c r="U81" s="62"/>
      <c r="V81" s="53"/>
      <c r="W81" s="2" t="str">
        <f t="shared" ca="1" si="19"/>
        <v/>
      </c>
      <c r="X81" s="2">
        <f t="shared" si="20"/>
        <v>0</v>
      </c>
      <c r="Y81" s="2" t="str">
        <f t="shared" ca="1" si="21"/>
        <v/>
      </c>
      <c r="Z81" s="1" t="str">
        <f t="shared" ca="1" si="22"/>
        <v/>
      </c>
      <c r="AA81" s="2" t="str">
        <f t="shared" ca="1" si="23"/>
        <v/>
      </c>
      <c r="AB81" s="2" t="str">
        <f t="shared" ca="1" si="24"/>
        <v/>
      </c>
      <c r="AC81" s="1" t="str">
        <f t="shared" ca="1" si="25"/>
        <v/>
      </c>
      <c r="AD81" t="str">
        <f t="shared" si="26"/>
        <v/>
      </c>
    </row>
    <row r="82" spans="1:30" s="2" customFormat="1">
      <c r="A82" s="30" t="str">
        <f t="shared" si="18"/>
        <v/>
      </c>
      <c r="B82" s="14"/>
      <c r="C82" s="4"/>
      <c r="D82" s="4"/>
      <c r="E82" s="4"/>
      <c r="F82" s="4"/>
      <c r="G82" s="4"/>
      <c r="H82" s="15"/>
      <c r="I82" s="14"/>
      <c r="J82" s="4"/>
      <c r="K82" s="4"/>
      <c r="L82" s="4"/>
      <c r="M82" s="4"/>
      <c r="N82" s="4"/>
      <c r="O82" s="13"/>
      <c r="P82" s="20"/>
      <c r="Q82" s="4"/>
      <c r="R82" s="66"/>
      <c r="S82" s="5"/>
      <c r="T82" s="59"/>
      <c r="U82" s="62"/>
      <c r="V82" s="53"/>
      <c r="W82" s="2" t="str">
        <f t="shared" ca="1" si="19"/>
        <v/>
      </c>
      <c r="X82" s="2">
        <f t="shared" si="20"/>
        <v>0</v>
      </c>
      <c r="Y82" s="2" t="str">
        <f t="shared" ca="1" si="21"/>
        <v/>
      </c>
      <c r="Z82" s="1" t="str">
        <f t="shared" ca="1" si="22"/>
        <v/>
      </c>
      <c r="AA82" s="2" t="str">
        <f t="shared" ca="1" si="23"/>
        <v/>
      </c>
      <c r="AB82" s="2" t="str">
        <f t="shared" ca="1" si="24"/>
        <v/>
      </c>
      <c r="AC82" s="1" t="str">
        <f t="shared" ca="1" si="25"/>
        <v/>
      </c>
      <c r="AD82" t="str">
        <f t="shared" si="26"/>
        <v/>
      </c>
    </row>
    <row r="83" spans="1:30" s="2" customFormat="1">
      <c r="A83" s="30" t="str">
        <f t="shared" si="18"/>
        <v/>
      </c>
      <c r="B83" s="14"/>
      <c r="C83" s="4"/>
      <c r="D83" s="4"/>
      <c r="E83" s="4"/>
      <c r="F83" s="4"/>
      <c r="G83" s="4"/>
      <c r="H83" s="15"/>
      <c r="I83" s="14"/>
      <c r="J83" s="4"/>
      <c r="K83" s="4"/>
      <c r="L83" s="4"/>
      <c r="M83" s="4"/>
      <c r="N83" s="4"/>
      <c r="O83" s="13"/>
      <c r="P83" s="20"/>
      <c r="Q83" s="4"/>
      <c r="R83" s="66"/>
      <c r="S83" s="5"/>
      <c r="T83" s="59"/>
      <c r="U83" s="62"/>
      <c r="V83" s="53"/>
      <c r="W83" s="2" t="str">
        <f t="shared" ca="1" si="19"/>
        <v/>
      </c>
      <c r="X83" s="2">
        <f t="shared" si="20"/>
        <v>0</v>
      </c>
      <c r="Y83" s="2" t="str">
        <f t="shared" ca="1" si="21"/>
        <v/>
      </c>
      <c r="Z83" s="1" t="str">
        <f t="shared" ca="1" si="22"/>
        <v/>
      </c>
      <c r="AA83" s="2" t="str">
        <f t="shared" ca="1" si="23"/>
        <v/>
      </c>
      <c r="AB83" s="2" t="str">
        <f t="shared" ca="1" si="24"/>
        <v/>
      </c>
      <c r="AC83" s="1" t="str">
        <f t="shared" ca="1" si="25"/>
        <v/>
      </c>
      <c r="AD83" t="str">
        <f t="shared" si="26"/>
        <v/>
      </c>
    </row>
    <row r="84" spans="1:30" s="2" customFormat="1">
      <c r="A84" s="30" t="str">
        <f t="shared" si="18"/>
        <v/>
      </c>
      <c r="B84" s="14"/>
      <c r="C84" s="4"/>
      <c r="D84" s="4"/>
      <c r="E84" s="4"/>
      <c r="F84" s="4"/>
      <c r="G84" s="4"/>
      <c r="H84" s="15"/>
      <c r="I84" s="14"/>
      <c r="J84" s="4"/>
      <c r="K84" s="4"/>
      <c r="L84" s="4"/>
      <c r="M84" s="4"/>
      <c r="N84" s="4"/>
      <c r="O84" s="13"/>
      <c r="P84" s="20"/>
      <c r="Q84" s="4"/>
      <c r="R84" s="66"/>
      <c r="S84" s="5"/>
      <c r="T84" s="59"/>
      <c r="U84" s="62"/>
      <c r="V84" s="53"/>
      <c r="W84" s="2" t="str">
        <f t="shared" ca="1" si="19"/>
        <v/>
      </c>
      <c r="X84" s="2">
        <f t="shared" si="20"/>
        <v>0</v>
      </c>
      <c r="Y84" s="2" t="str">
        <f t="shared" ca="1" si="21"/>
        <v/>
      </c>
      <c r="Z84" s="1" t="str">
        <f t="shared" ca="1" si="22"/>
        <v/>
      </c>
      <c r="AA84" s="2" t="str">
        <f t="shared" ca="1" si="23"/>
        <v/>
      </c>
      <c r="AB84" s="2" t="str">
        <f t="shared" ca="1" si="24"/>
        <v/>
      </c>
      <c r="AC84" s="1" t="str">
        <f t="shared" ca="1" si="25"/>
        <v/>
      </c>
      <c r="AD84" t="str">
        <f t="shared" si="26"/>
        <v/>
      </c>
    </row>
    <row r="85" spans="1:30" s="2" customFormat="1">
      <c r="A85" s="30" t="str">
        <f t="shared" si="18"/>
        <v/>
      </c>
      <c r="B85" s="14"/>
      <c r="C85" s="4"/>
      <c r="D85" s="4"/>
      <c r="E85" s="4"/>
      <c r="F85" s="4"/>
      <c r="G85" s="4"/>
      <c r="H85" s="15"/>
      <c r="I85" s="14"/>
      <c r="J85" s="4"/>
      <c r="K85" s="4"/>
      <c r="L85" s="4"/>
      <c r="M85" s="4"/>
      <c r="N85" s="4"/>
      <c r="O85" s="13"/>
      <c r="P85" s="20"/>
      <c r="Q85" s="4"/>
      <c r="R85" s="66"/>
      <c r="S85" s="5"/>
      <c r="T85" s="59"/>
      <c r="U85" s="62"/>
      <c r="V85" s="53"/>
      <c r="W85" s="2" t="str">
        <f t="shared" ca="1" si="19"/>
        <v/>
      </c>
      <c r="X85" s="2">
        <f t="shared" si="20"/>
        <v>0</v>
      </c>
      <c r="Y85" s="2" t="str">
        <f t="shared" ca="1" si="21"/>
        <v/>
      </c>
      <c r="Z85" s="1" t="str">
        <f t="shared" ca="1" si="22"/>
        <v/>
      </c>
      <c r="AA85" s="2" t="str">
        <f t="shared" ca="1" si="23"/>
        <v/>
      </c>
      <c r="AB85" s="2" t="str">
        <f t="shared" ca="1" si="24"/>
        <v/>
      </c>
      <c r="AC85" s="1" t="str">
        <f t="shared" ca="1" si="25"/>
        <v/>
      </c>
      <c r="AD85" t="str">
        <f t="shared" si="26"/>
        <v/>
      </c>
    </row>
    <row r="86" spans="1:30" s="2" customFormat="1">
      <c r="A86" s="30" t="str">
        <f t="shared" si="18"/>
        <v/>
      </c>
      <c r="B86" s="14"/>
      <c r="C86" s="4"/>
      <c r="D86" s="4"/>
      <c r="E86" s="4"/>
      <c r="F86" s="4"/>
      <c r="G86" s="4"/>
      <c r="H86" s="15"/>
      <c r="I86" s="14"/>
      <c r="J86" s="4"/>
      <c r="K86" s="4"/>
      <c r="L86" s="4"/>
      <c r="M86" s="4"/>
      <c r="N86" s="4"/>
      <c r="O86" s="13"/>
      <c r="P86" s="20"/>
      <c r="Q86" s="4"/>
      <c r="R86" s="66"/>
      <c r="S86" s="5"/>
      <c r="T86" s="59"/>
      <c r="U86" s="62"/>
      <c r="V86" s="53"/>
      <c r="W86" s="2" t="str">
        <f t="shared" ca="1" si="19"/>
        <v/>
      </c>
      <c r="X86" s="2">
        <f t="shared" si="20"/>
        <v>0</v>
      </c>
      <c r="Y86" s="2" t="str">
        <f t="shared" ca="1" si="21"/>
        <v/>
      </c>
      <c r="Z86" s="1" t="str">
        <f t="shared" ca="1" si="22"/>
        <v/>
      </c>
      <c r="AA86" s="2" t="str">
        <f t="shared" ca="1" si="23"/>
        <v/>
      </c>
      <c r="AB86" s="2" t="str">
        <f t="shared" ca="1" si="24"/>
        <v/>
      </c>
      <c r="AC86" s="1" t="str">
        <f t="shared" ca="1" si="25"/>
        <v/>
      </c>
      <c r="AD86" t="str">
        <f t="shared" si="26"/>
        <v/>
      </c>
    </row>
    <row r="87" spans="1:30" s="2" customFormat="1">
      <c r="A87" s="30" t="str">
        <f t="shared" si="18"/>
        <v/>
      </c>
      <c r="B87" s="14"/>
      <c r="C87" s="4"/>
      <c r="D87" s="4"/>
      <c r="E87" s="4"/>
      <c r="F87" s="4"/>
      <c r="G87" s="4"/>
      <c r="H87" s="15"/>
      <c r="I87" s="14"/>
      <c r="J87" s="4"/>
      <c r="K87" s="4"/>
      <c r="L87" s="4"/>
      <c r="M87" s="4"/>
      <c r="N87" s="4"/>
      <c r="O87" s="13"/>
      <c r="P87" s="20"/>
      <c r="Q87" s="4"/>
      <c r="R87" s="66"/>
      <c r="S87" s="5"/>
      <c r="T87" s="59"/>
      <c r="U87" s="62"/>
      <c r="V87" s="53"/>
      <c r="W87" s="2" t="str">
        <f t="shared" ca="1" si="19"/>
        <v/>
      </c>
      <c r="X87" s="2">
        <f t="shared" si="20"/>
        <v>0</v>
      </c>
      <c r="Y87" s="2" t="str">
        <f t="shared" ca="1" si="21"/>
        <v/>
      </c>
      <c r="Z87" s="1" t="str">
        <f t="shared" ca="1" si="22"/>
        <v/>
      </c>
      <c r="AA87" s="2" t="str">
        <f t="shared" ca="1" si="23"/>
        <v/>
      </c>
      <c r="AB87" s="2" t="str">
        <f t="shared" ca="1" si="24"/>
        <v/>
      </c>
      <c r="AC87" s="1" t="str">
        <f t="shared" ca="1" si="25"/>
        <v/>
      </c>
      <c r="AD87" t="str">
        <f t="shared" si="26"/>
        <v/>
      </c>
    </row>
    <row r="88" spans="1:30" s="2" customFormat="1">
      <c r="A88" s="30" t="str">
        <f t="shared" si="18"/>
        <v/>
      </c>
      <c r="B88" s="14"/>
      <c r="C88" s="4"/>
      <c r="D88" s="4"/>
      <c r="E88" s="4"/>
      <c r="F88" s="4"/>
      <c r="G88" s="4"/>
      <c r="H88" s="15"/>
      <c r="I88" s="14"/>
      <c r="J88" s="4"/>
      <c r="K88" s="4"/>
      <c r="L88" s="4"/>
      <c r="M88" s="4"/>
      <c r="N88" s="4"/>
      <c r="O88" s="13"/>
      <c r="P88" s="20"/>
      <c r="Q88" s="4"/>
      <c r="R88" s="66"/>
      <c r="S88" s="5"/>
      <c r="T88" s="59"/>
      <c r="U88" s="62"/>
      <c r="V88" s="53"/>
      <c r="W88" s="2" t="str">
        <f t="shared" ca="1" si="19"/>
        <v/>
      </c>
      <c r="X88" s="2">
        <f t="shared" si="20"/>
        <v>0</v>
      </c>
      <c r="Y88" s="2" t="str">
        <f t="shared" ca="1" si="21"/>
        <v/>
      </c>
      <c r="Z88" s="1" t="str">
        <f t="shared" ca="1" si="22"/>
        <v/>
      </c>
      <c r="AA88" s="2" t="str">
        <f t="shared" ca="1" si="23"/>
        <v/>
      </c>
      <c r="AB88" s="2" t="str">
        <f t="shared" ca="1" si="24"/>
        <v/>
      </c>
      <c r="AC88" s="1" t="str">
        <f t="shared" ca="1" si="25"/>
        <v/>
      </c>
      <c r="AD88" t="str">
        <f t="shared" si="26"/>
        <v/>
      </c>
    </row>
    <row r="89" spans="1:30" s="2" customFormat="1">
      <c r="A89" s="30" t="str">
        <f t="shared" si="18"/>
        <v/>
      </c>
      <c r="B89" s="14"/>
      <c r="C89" s="4"/>
      <c r="D89" s="4"/>
      <c r="E89" s="4"/>
      <c r="F89" s="4"/>
      <c r="G89" s="4"/>
      <c r="H89" s="15"/>
      <c r="I89" s="14"/>
      <c r="J89" s="4"/>
      <c r="K89" s="4"/>
      <c r="L89" s="4"/>
      <c r="M89" s="4"/>
      <c r="N89" s="4"/>
      <c r="O89" s="13"/>
      <c r="P89" s="20"/>
      <c r="Q89" s="4"/>
      <c r="R89" s="66"/>
      <c r="S89" s="5"/>
      <c r="T89" s="59"/>
      <c r="U89" s="62"/>
      <c r="V89" s="53"/>
      <c r="W89" s="2" t="str">
        <f t="shared" ca="1" si="19"/>
        <v/>
      </c>
      <c r="X89" s="2">
        <f t="shared" si="20"/>
        <v>0</v>
      </c>
      <c r="Y89" s="2" t="str">
        <f t="shared" ca="1" si="21"/>
        <v/>
      </c>
      <c r="Z89" s="1" t="str">
        <f t="shared" ca="1" si="22"/>
        <v/>
      </c>
      <c r="AA89" s="2" t="str">
        <f t="shared" ca="1" si="23"/>
        <v/>
      </c>
      <c r="AB89" s="2" t="str">
        <f t="shared" ca="1" si="24"/>
        <v/>
      </c>
      <c r="AC89" s="1" t="str">
        <f t="shared" ca="1" si="25"/>
        <v/>
      </c>
      <c r="AD89" t="str">
        <f t="shared" si="26"/>
        <v/>
      </c>
    </row>
    <row r="90" spans="1:30" s="2" customFormat="1">
      <c r="A90" s="30" t="str">
        <f t="shared" si="18"/>
        <v/>
      </c>
      <c r="B90" s="14"/>
      <c r="C90" s="4"/>
      <c r="D90" s="4"/>
      <c r="E90" s="4"/>
      <c r="F90" s="4"/>
      <c r="G90" s="4"/>
      <c r="H90" s="15"/>
      <c r="I90" s="14"/>
      <c r="J90" s="4"/>
      <c r="K90" s="4"/>
      <c r="L90" s="4"/>
      <c r="M90" s="4"/>
      <c r="N90" s="4"/>
      <c r="O90" s="13"/>
      <c r="P90" s="20"/>
      <c r="Q90" s="4"/>
      <c r="R90" s="66"/>
      <c r="S90" s="5"/>
      <c r="T90" s="59"/>
      <c r="U90" s="62"/>
      <c r="V90" s="53"/>
      <c r="W90" s="2" t="str">
        <f t="shared" ca="1" si="19"/>
        <v/>
      </c>
      <c r="X90" s="2">
        <f t="shared" si="20"/>
        <v>0</v>
      </c>
      <c r="Y90" s="2" t="str">
        <f t="shared" ca="1" si="21"/>
        <v/>
      </c>
      <c r="Z90" s="1" t="str">
        <f t="shared" ca="1" si="22"/>
        <v/>
      </c>
      <c r="AA90" s="2" t="str">
        <f t="shared" ca="1" si="23"/>
        <v/>
      </c>
      <c r="AB90" s="2" t="str">
        <f t="shared" ca="1" si="24"/>
        <v/>
      </c>
      <c r="AC90" s="1" t="str">
        <f t="shared" ca="1" si="25"/>
        <v/>
      </c>
      <c r="AD90" t="str">
        <f t="shared" si="26"/>
        <v/>
      </c>
    </row>
    <row r="91" spans="1:30" s="2" customFormat="1">
      <c r="A91" s="30" t="str">
        <f t="shared" si="18"/>
        <v/>
      </c>
      <c r="B91" s="14"/>
      <c r="C91" s="4"/>
      <c r="D91" s="4"/>
      <c r="E91" s="4"/>
      <c r="F91" s="4"/>
      <c r="G91" s="4"/>
      <c r="H91" s="15"/>
      <c r="I91" s="14"/>
      <c r="J91" s="4"/>
      <c r="K91" s="4"/>
      <c r="L91" s="4"/>
      <c r="M91" s="4"/>
      <c r="N91" s="4"/>
      <c r="O91" s="13"/>
      <c r="P91" s="20"/>
      <c r="Q91" s="4"/>
      <c r="R91" s="66"/>
      <c r="S91" s="5"/>
      <c r="T91" s="59"/>
      <c r="U91" s="62"/>
      <c r="V91" s="53"/>
      <c r="W91" s="2" t="str">
        <f t="shared" ca="1" si="19"/>
        <v/>
      </c>
      <c r="X91" s="2">
        <f t="shared" si="20"/>
        <v>0</v>
      </c>
      <c r="Y91" s="2" t="str">
        <f t="shared" ca="1" si="21"/>
        <v/>
      </c>
      <c r="Z91" s="1" t="str">
        <f t="shared" ca="1" si="22"/>
        <v/>
      </c>
      <c r="AA91" s="2" t="str">
        <f t="shared" ca="1" si="23"/>
        <v/>
      </c>
      <c r="AB91" s="2" t="str">
        <f t="shared" ca="1" si="24"/>
        <v/>
      </c>
      <c r="AC91" s="1" t="str">
        <f t="shared" ca="1" si="25"/>
        <v/>
      </c>
      <c r="AD91" t="str">
        <f t="shared" si="26"/>
        <v/>
      </c>
    </row>
    <row r="92" spans="1:30" s="2" customFormat="1">
      <c r="A92" s="30" t="str">
        <f t="shared" si="18"/>
        <v/>
      </c>
      <c r="B92" s="14"/>
      <c r="C92" s="4"/>
      <c r="D92" s="4"/>
      <c r="E92" s="4"/>
      <c r="F92" s="4"/>
      <c r="G92" s="4"/>
      <c r="H92" s="15"/>
      <c r="I92" s="14"/>
      <c r="J92" s="4"/>
      <c r="K92" s="4"/>
      <c r="L92" s="4"/>
      <c r="M92" s="4"/>
      <c r="N92" s="4"/>
      <c r="O92" s="13"/>
      <c r="P92" s="20"/>
      <c r="Q92" s="4"/>
      <c r="R92" s="66"/>
      <c r="S92" s="5"/>
      <c r="T92" s="59"/>
      <c r="U92" s="62"/>
      <c r="V92" s="53"/>
      <c r="W92" s="2" t="str">
        <f t="shared" ca="1" si="19"/>
        <v/>
      </c>
      <c r="X92" s="2">
        <f t="shared" si="20"/>
        <v>0</v>
      </c>
      <c r="Y92" s="2" t="str">
        <f t="shared" ca="1" si="21"/>
        <v/>
      </c>
      <c r="Z92" s="1" t="str">
        <f t="shared" ca="1" si="22"/>
        <v/>
      </c>
      <c r="AA92" s="2" t="str">
        <f t="shared" ca="1" si="23"/>
        <v/>
      </c>
      <c r="AB92" s="2" t="str">
        <f t="shared" ca="1" si="24"/>
        <v/>
      </c>
      <c r="AC92" s="1" t="str">
        <f t="shared" ca="1" si="25"/>
        <v/>
      </c>
      <c r="AD92" t="str">
        <f t="shared" si="26"/>
        <v/>
      </c>
    </row>
    <row r="93" spans="1:30" s="2" customFormat="1">
      <c r="A93" s="30" t="str">
        <f t="shared" si="18"/>
        <v/>
      </c>
      <c r="B93" s="14"/>
      <c r="C93" s="4"/>
      <c r="D93" s="4"/>
      <c r="E93" s="4"/>
      <c r="F93" s="4"/>
      <c r="G93" s="4"/>
      <c r="H93" s="15"/>
      <c r="I93" s="14"/>
      <c r="J93" s="4"/>
      <c r="K93" s="4"/>
      <c r="L93" s="4"/>
      <c r="M93" s="4"/>
      <c r="N93" s="4"/>
      <c r="O93" s="13"/>
      <c r="P93" s="20"/>
      <c r="Q93" s="4"/>
      <c r="R93" s="66"/>
      <c r="S93" s="5"/>
      <c r="T93" s="59"/>
      <c r="U93" s="62"/>
      <c r="V93" s="53"/>
      <c r="W93" s="2" t="str">
        <f t="shared" ca="1" si="19"/>
        <v/>
      </c>
      <c r="X93" s="2">
        <f t="shared" si="20"/>
        <v>0</v>
      </c>
      <c r="Y93" s="2" t="str">
        <f t="shared" ca="1" si="21"/>
        <v/>
      </c>
      <c r="Z93" s="1" t="str">
        <f t="shared" ca="1" si="22"/>
        <v/>
      </c>
      <c r="AA93" s="2" t="str">
        <f t="shared" ca="1" si="23"/>
        <v/>
      </c>
      <c r="AB93" s="2" t="str">
        <f t="shared" ca="1" si="24"/>
        <v/>
      </c>
      <c r="AC93" s="1" t="str">
        <f t="shared" ca="1" si="25"/>
        <v/>
      </c>
      <c r="AD93" t="str">
        <f t="shared" si="26"/>
        <v/>
      </c>
    </row>
    <row r="94" spans="1:30" s="2" customFormat="1">
      <c r="A94" s="30" t="str">
        <f t="shared" si="18"/>
        <v/>
      </c>
      <c r="B94" s="14"/>
      <c r="C94" s="4"/>
      <c r="D94" s="4"/>
      <c r="E94" s="4"/>
      <c r="F94" s="4"/>
      <c r="G94" s="4"/>
      <c r="H94" s="15"/>
      <c r="I94" s="14"/>
      <c r="J94" s="4"/>
      <c r="K94" s="4"/>
      <c r="L94" s="4"/>
      <c r="M94" s="4"/>
      <c r="N94" s="4"/>
      <c r="O94" s="13"/>
      <c r="P94" s="20"/>
      <c r="Q94" s="4"/>
      <c r="R94" s="66"/>
      <c r="S94" s="5"/>
      <c r="T94" s="59"/>
      <c r="U94" s="62"/>
      <c r="V94" s="53"/>
      <c r="W94" s="2" t="str">
        <f t="shared" ca="1" si="19"/>
        <v/>
      </c>
      <c r="X94" s="2">
        <f t="shared" si="20"/>
        <v>0</v>
      </c>
      <c r="Y94" s="2" t="str">
        <f t="shared" ca="1" si="21"/>
        <v/>
      </c>
      <c r="Z94" s="1" t="str">
        <f t="shared" ca="1" si="22"/>
        <v/>
      </c>
      <c r="AA94" s="2" t="str">
        <f t="shared" ca="1" si="23"/>
        <v/>
      </c>
      <c r="AB94" s="2" t="str">
        <f t="shared" ca="1" si="24"/>
        <v/>
      </c>
      <c r="AC94" s="1" t="str">
        <f t="shared" ca="1" si="25"/>
        <v/>
      </c>
      <c r="AD94" t="str">
        <f t="shared" si="26"/>
        <v/>
      </c>
    </row>
    <row r="95" spans="1:30" s="2" customFormat="1">
      <c r="A95" s="30" t="str">
        <f t="shared" si="18"/>
        <v/>
      </c>
      <c r="B95" s="14"/>
      <c r="C95" s="4"/>
      <c r="D95" s="4"/>
      <c r="E95" s="4"/>
      <c r="F95" s="4"/>
      <c r="G95" s="4"/>
      <c r="H95" s="15"/>
      <c r="I95" s="14"/>
      <c r="J95" s="4"/>
      <c r="K95" s="4"/>
      <c r="L95" s="4"/>
      <c r="M95" s="4"/>
      <c r="N95" s="4"/>
      <c r="O95" s="13"/>
      <c r="P95" s="20"/>
      <c r="Q95" s="4"/>
      <c r="R95" s="66"/>
      <c r="S95" s="5"/>
      <c r="T95" s="59"/>
      <c r="U95" s="62"/>
      <c r="V95" s="53"/>
      <c r="W95" s="2" t="str">
        <f t="shared" ca="1" si="19"/>
        <v/>
      </c>
      <c r="X95" s="2">
        <f t="shared" si="20"/>
        <v>0</v>
      </c>
      <c r="Y95" s="2" t="str">
        <f t="shared" ca="1" si="21"/>
        <v/>
      </c>
      <c r="Z95" s="1" t="str">
        <f t="shared" ca="1" si="22"/>
        <v/>
      </c>
      <c r="AA95" s="2" t="str">
        <f t="shared" ca="1" si="23"/>
        <v/>
      </c>
      <c r="AB95" s="2" t="str">
        <f t="shared" ca="1" si="24"/>
        <v/>
      </c>
      <c r="AC95" s="1" t="str">
        <f t="shared" ca="1" si="25"/>
        <v/>
      </c>
      <c r="AD95" t="str">
        <f t="shared" si="26"/>
        <v/>
      </c>
    </row>
    <row r="96" spans="1:30" s="2" customFormat="1">
      <c r="A96" s="30" t="str">
        <f t="shared" si="18"/>
        <v/>
      </c>
      <c r="B96" s="14"/>
      <c r="C96" s="4"/>
      <c r="D96" s="4"/>
      <c r="E96" s="4"/>
      <c r="F96" s="4"/>
      <c r="G96" s="4"/>
      <c r="H96" s="15"/>
      <c r="I96" s="14"/>
      <c r="J96" s="4"/>
      <c r="K96" s="4"/>
      <c r="L96" s="4"/>
      <c r="M96" s="4"/>
      <c r="N96" s="4"/>
      <c r="O96" s="13"/>
      <c r="P96" s="20"/>
      <c r="Q96" s="4"/>
      <c r="R96" s="66"/>
      <c r="S96" s="5"/>
      <c r="T96" s="59"/>
      <c r="U96" s="62"/>
      <c r="V96" s="53"/>
      <c r="W96" s="2" t="str">
        <f t="shared" ca="1" si="19"/>
        <v/>
      </c>
      <c r="X96" s="2">
        <f t="shared" si="20"/>
        <v>0</v>
      </c>
      <c r="Y96" s="2" t="str">
        <f t="shared" ca="1" si="21"/>
        <v/>
      </c>
      <c r="Z96" s="1" t="str">
        <f t="shared" ca="1" si="22"/>
        <v/>
      </c>
      <c r="AA96" s="2" t="str">
        <f t="shared" ca="1" si="23"/>
        <v/>
      </c>
      <c r="AB96" s="2" t="str">
        <f t="shared" ca="1" si="24"/>
        <v/>
      </c>
      <c r="AC96" s="1" t="str">
        <f t="shared" ca="1" si="25"/>
        <v/>
      </c>
      <c r="AD96" t="str">
        <f t="shared" si="26"/>
        <v/>
      </c>
    </row>
    <row r="97" spans="1:30" s="2" customFormat="1">
      <c r="A97" s="30" t="str">
        <f t="shared" si="18"/>
        <v/>
      </c>
      <c r="B97" s="14"/>
      <c r="C97" s="4"/>
      <c r="D97" s="4"/>
      <c r="E97" s="4"/>
      <c r="F97" s="4"/>
      <c r="G97" s="4"/>
      <c r="H97" s="15"/>
      <c r="I97" s="14"/>
      <c r="J97" s="4"/>
      <c r="K97" s="4"/>
      <c r="L97" s="4"/>
      <c r="M97" s="4"/>
      <c r="N97" s="4"/>
      <c r="O97" s="13"/>
      <c r="P97" s="20"/>
      <c r="Q97" s="4"/>
      <c r="R97" s="66"/>
      <c r="S97" s="5"/>
      <c r="T97" s="59"/>
      <c r="U97" s="62"/>
      <c r="V97" s="53"/>
      <c r="W97" s="2" t="str">
        <f t="shared" ca="1" si="19"/>
        <v/>
      </c>
      <c r="X97" s="2">
        <f t="shared" si="20"/>
        <v>0</v>
      </c>
      <c r="Y97" s="2" t="str">
        <f t="shared" ca="1" si="21"/>
        <v/>
      </c>
      <c r="Z97" s="1" t="str">
        <f t="shared" ca="1" si="22"/>
        <v/>
      </c>
      <c r="AA97" s="2" t="str">
        <f t="shared" ca="1" si="23"/>
        <v/>
      </c>
      <c r="AB97" s="2" t="str">
        <f t="shared" ca="1" si="24"/>
        <v/>
      </c>
      <c r="AC97" s="1" t="str">
        <f t="shared" ca="1" si="25"/>
        <v/>
      </c>
      <c r="AD97" t="str">
        <f t="shared" si="26"/>
        <v/>
      </c>
    </row>
    <row r="98" spans="1:30" s="2" customFormat="1">
      <c r="A98" s="30" t="str">
        <f t="shared" si="18"/>
        <v/>
      </c>
      <c r="B98" s="14"/>
      <c r="C98" s="4"/>
      <c r="D98" s="4"/>
      <c r="E98" s="4"/>
      <c r="F98" s="4"/>
      <c r="G98" s="4"/>
      <c r="H98" s="15"/>
      <c r="I98" s="14"/>
      <c r="J98" s="4"/>
      <c r="K98" s="4"/>
      <c r="L98" s="4"/>
      <c r="M98" s="4"/>
      <c r="N98" s="4"/>
      <c r="O98" s="13"/>
      <c r="P98" s="20"/>
      <c r="Q98" s="4"/>
      <c r="R98" s="66"/>
      <c r="S98" s="5"/>
      <c r="T98" s="59"/>
      <c r="U98" s="62"/>
      <c r="V98" s="53"/>
      <c r="W98" s="2" t="str">
        <f t="shared" ca="1" si="19"/>
        <v/>
      </c>
      <c r="X98" s="2">
        <f t="shared" si="20"/>
        <v>0</v>
      </c>
      <c r="Y98" s="2" t="str">
        <f t="shared" ca="1" si="21"/>
        <v/>
      </c>
      <c r="Z98" s="1" t="str">
        <f t="shared" ca="1" si="22"/>
        <v/>
      </c>
      <c r="AA98" s="2" t="str">
        <f t="shared" ca="1" si="23"/>
        <v/>
      </c>
      <c r="AB98" s="2" t="str">
        <f t="shared" ca="1" si="24"/>
        <v/>
      </c>
      <c r="AC98" s="1" t="str">
        <f t="shared" ca="1" si="25"/>
        <v/>
      </c>
      <c r="AD98" t="str">
        <f t="shared" si="26"/>
        <v/>
      </c>
    </row>
    <row r="99" spans="1:30" s="2" customFormat="1">
      <c r="A99" s="30" t="str">
        <f t="shared" si="18"/>
        <v/>
      </c>
      <c r="B99" s="14"/>
      <c r="C99" s="4"/>
      <c r="D99" s="4"/>
      <c r="E99" s="4"/>
      <c r="F99" s="4"/>
      <c r="G99" s="4"/>
      <c r="H99" s="15"/>
      <c r="I99" s="14"/>
      <c r="J99" s="4"/>
      <c r="K99" s="4"/>
      <c r="L99" s="4"/>
      <c r="M99" s="4"/>
      <c r="N99" s="4"/>
      <c r="O99" s="13"/>
      <c r="P99" s="20"/>
      <c r="Q99" s="4"/>
      <c r="R99" s="66"/>
      <c r="S99" s="5"/>
      <c r="T99" s="59"/>
      <c r="U99" s="62"/>
      <c r="V99" s="53"/>
      <c r="W99" s="2" t="str">
        <f t="shared" ca="1" si="19"/>
        <v/>
      </c>
      <c r="X99" s="2">
        <f t="shared" si="20"/>
        <v>0</v>
      </c>
      <c r="Y99" s="2" t="str">
        <f t="shared" ca="1" si="21"/>
        <v/>
      </c>
      <c r="Z99" s="1" t="str">
        <f t="shared" ca="1" si="22"/>
        <v/>
      </c>
      <c r="AA99" s="2" t="str">
        <f t="shared" ca="1" si="23"/>
        <v/>
      </c>
      <c r="AB99" s="2" t="str">
        <f t="shared" ca="1" si="24"/>
        <v/>
      </c>
      <c r="AC99" s="1" t="str">
        <f t="shared" ca="1" si="25"/>
        <v/>
      </c>
      <c r="AD99" t="str">
        <f t="shared" si="26"/>
        <v/>
      </c>
    </row>
    <row r="100" spans="1:30" s="2" customFormat="1">
      <c r="A100" s="30" t="str">
        <f t="shared" si="18"/>
        <v/>
      </c>
      <c r="B100" s="14"/>
      <c r="C100" s="4"/>
      <c r="D100" s="4"/>
      <c r="E100" s="4"/>
      <c r="F100" s="4"/>
      <c r="G100" s="4"/>
      <c r="H100" s="15"/>
      <c r="I100" s="14"/>
      <c r="J100" s="4"/>
      <c r="K100" s="4"/>
      <c r="L100" s="4"/>
      <c r="M100" s="4"/>
      <c r="N100" s="4"/>
      <c r="O100" s="13"/>
      <c r="P100" s="20"/>
      <c r="Q100" s="4"/>
      <c r="R100" s="66"/>
      <c r="S100" s="5"/>
      <c r="T100" s="59"/>
      <c r="U100" s="62"/>
      <c r="V100" s="53"/>
      <c r="W100" s="2" t="str">
        <f t="shared" ca="1" si="19"/>
        <v/>
      </c>
      <c r="X100" s="2">
        <f t="shared" si="20"/>
        <v>0</v>
      </c>
      <c r="Y100" s="2" t="str">
        <f t="shared" ca="1" si="21"/>
        <v/>
      </c>
      <c r="Z100" s="1" t="str">
        <f t="shared" ca="1" si="22"/>
        <v/>
      </c>
      <c r="AA100" s="2" t="str">
        <f t="shared" ca="1" si="23"/>
        <v/>
      </c>
      <c r="AB100" s="2" t="str">
        <f t="shared" ca="1" si="24"/>
        <v/>
      </c>
      <c r="AC100" s="1" t="str">
        <f t="shared" ca="1" si="25"/>
        <v/>
      </c>
      <c r="AD100" t="str">
        <f t="shared" si="26"/>
        <v/>
      </c>
    </row>
    <row r="101" spans="1:30" s="2" customFormat="1">
      <c r="A101" s="30" t="str">
        <f t="shared" ref="A101:A132" si="27">IF(NOT(COUNTA(B101:H101)),"",ROW()-4)</f>
        <v/>
      </c>
      <c r="B101" s="14"/>
      <c r="C101" s="4"/>
      <c r="D101" s="4"/>
      <c r="E101" s="4"/>
      <c r="F101" s="4"/>
      <c r="G101" s="4"/>
      <c r="H101" s="15"/>
      <c r="I101" s="14"/>
      <c r="J101" s="4"/>
      <c r="K101" s="4"/>
      <c r="L101" s="4"/>
      <c r="M101" s="4"/>
      <c r="N101" s="4"/>
      <c r="O101" s="13"/>
      <c r="P101" s="20"/>
      <c r="Q101" s="4"/>
      <c r="R101" s="66"/>
      <c r="S101" s="5"/>
      <c r="T101" s="59"/>
      <c r="U101" s="62"/>
      <c r="V101" s="53"/>
      <c r="W101" s="2" t="str">
        <f t="shared" ref="W101:W132" ca="1" si="28">IF(ISNA(VLOOKUP(P101,內容物Mapping,2,FALSE)),"",VLOOKUP(P101,內容物Mapping,2,FALSE))</f>
        <v/>
      </c>
      <c r="X101" s="2">
        <f t="shared" ref="X101:X132" si="29">IF(P101="其他",TRIM(Q101),P101)</f>
        <v>0</v>
      </c>
      <c r="Y101" s="2" t="str">
        <f t="shared" ref="Y101:Y132" ca="1" si="30">IF(ISNA(VLOOKUP(V101,未寄達處理方式Mapping,2,FALSE)),"",VLOOKUP(V101,未寄達處理方式Mapping,2,FALSE))</f>
        <v/>
      </c>
      <c r="Z101" s="1" t="str">
        <f t="shared" ref="Z101:Z132" ca="1" si="31">IF(ISNA(VLOOKUP(D101,地址類別Mapping,2,FALSE)),"",VLOOKUP(D101,地址類別Mapping,2,FALSE))</f>
        <v/>
      </c>
      <c r="AA101" s="2" t="str">
        <f t="shared" ref="AA101:AA132" ca="1" si="32">IF(ISNA(VLOOKUP(E101&amp;"-"&amp;F101,郵遞區號,2,FALSE)),"",VLOOKUP(E101&amp;"-"&amp;F101,郵遞區號,2,FALSE))</f>
        <v/>
      </c>
      <c r="AB101" s="2" t="str">
        <f t="shared" ref="AB101:AB132" ca="1" si="33">IF(ISNA(VLOOKUP(L101&amp;"-"&amp;M101,郵遞區號,2,FALSE)),"",VLOOKUP(L101&amp;"-"&amp;M101,郵遞區號,2,FALSE))</f>
        <v/>
      </c>
      <c r="AC101" s="1" t="str">
        <f t="shared" ref="AC101:AC132" ca="1" si="34">IF(ISNA(VLOOKUP(S101,箱袋種類Mapping,2,FALSE)),"",VLOOKUP(S101,箱袋種類Mapping,2,FALSE))</f>
        <v/>
      </c>
      <c r="AD101" t="str">
        <f t="shared" ref="AD101:AD132" si="35">IF(TRIM(B101)&lt;&gt;"","202","")</f>
        <v/>
      </c>
    </row>
    <row r="102" spans="1:30" s="2" customFormat="1">
      <c r="A102" s="30" t="str">
        <f t="shared" si="27"/>
        <v/>
      </c>
      <c r="B102" s="14"/>
      <c r="C102" s="4"/>
      <c r="D102" s="4"/>
      <c r="E102" s="4"/>
      <c r="F102" s="4"/>
      <c r="G102" s="4"/>
      <c r="H102" s="15"/>
      <c r="I102" s="14"/>
      <c r="J102" s="4"/>
      <c r="K102" s="4"/>
      <c r="L102" s="4"/>
      <c r="M102" s="4"/>
      <c r="N102" s="4"/>
      <c r="O102" s="13"/>
      <c r="P102" s="20"/>
      <c r="Q102" s="4"/>
      <c r="R102" s="66"/>
      <c r="S102" s="5"/>
      <c r="T102" s="59"/>
      <c r="U102" s="62"/>
      <c r="V102" s="53"/>
      <c r="W102" s="2" t="str">
        <f t="shared" ca="1" si="28"/>
        <v/>
      </c>
      <c r="X102" s="2">
        <f t="shared" si="29"/>
        <v>0</v>
      </c>
      <c r="Y102" s="2" t="str">
        <f t="shared" ca="1" si="30"/>
        <v/>
      </c>
      <c r="Z102" s="1" t="str">
        <f t="shared" ca="1" si="31"/>
        <v/>
      </c>
      <c r="AA102" s="2" t="str">
        <f t="shared" ca="1" si="32"/>
        <v/>
      </c>
      <c r="AB102" s="2" t="str">
        <f t="shared" ca="1" si="33"/>
        <v/>
      </c>
      <c r="AC102" s="1" t="str">
        <f t="shared" ca="1" si="34"/>
        <v/>
      </c>
      <c r="AD102" t="str">
        <f t="shared" si="35"/>
        <v/>
      </c>
    </row>
    <row r="103" spans="1:30" s="2" customFormat="1">
      <c r="A103" s="30" t="str">
        <f t="shared" si="27"/>
        <v/>
      </c>
      <c r="B103" s="14"/>
      <c r="C103" s="4"/>
      <c r="D103" s="4"/>
      <c r="E103" s="4"/>
      <c r="F103" s="4"/>
      <c r="G103" s="4"/>
      <c r="H103" s="15"/>
      <c r="I103" s="14"/>
      <c r="J103" s="4"/>
      <c r="K103" s="4"/>
      <c r="L103" s="4"/>
      <c r="M103" s="4"/>
      <c r="N103" s="4"/>
      <c r="O103" s="13"/>
      <c r="P103" s="20"/>
      <c r="Q103" s="4"/>
      <c r="R103" s="66"/>
      <c r="S103" s="5"/>
      <c r="T103" s="59"/>
      <c r="U103" s="62"/>
      <c r="V103" s="53"/>
      <c r="W103" s="2" t="str">
        <f t="shared" ca="1" si="28"/>
        <v/>
      </c>
      <c r="X103" s="2">
        <f t="shared" si="29"/>
        <v>0</v>
      </c>
      <c r="Y103" s="2" t="str">
        <f t="shared" ca="1" si="30"/>
        <v/>
      </c>
      <c r="Z103" s="1" t="str">
        <f t="shared" ca="1" si="31"/>
        <v/>
      </c>
      <c r="AA103" s="2" t="str">
        <f t="shared" ca="1" si="32"/>
        <v/>
      </c>
      <c r="AB103" s="2" t="str">
        <f t="shared" ca="1" si="33"/>
        <v/>
      </c>
      <c r="AC103" s="1" t="str">
        <f t="shared" ca="1" si="34"/>
        <v/>
      </c>
      <c r="AD103" t="str">
        <f t="shared" si="35"/>
        <v/>
      </c>
    </row>
    <row r="104" spans="1:30" s="2" customFormat="1">
      <c r="A104" s="30" t="str">
        <f t="shared" si="27"/>
        <v/>
      </c>
      <c r="B104" s="14"/>
      <c r="C104" s="4"/>
      <c r="D104" s="4"/>
      <c r="E104" s="4"/>
      <c r="F104" s="4"/>
      <c r="G104" s="4"/>
      <c r="H104" s="15"/>
      <c r="I104" s="14"/>
      <c r="J104" s="4"/>
      <c r="K104" s="4"/>
      <c r="L104" s="4"/>
      <c r="M104" s="4"/>
      <c r="N104" s="4"/>
      <c r="O104" s="13"/>
      <c r="P104" s="20"/>
      <c r="Q104" s="4"/>
      <c r="R104" s="66"/>
      <c r="S104" s="5"/>
      <c r="T104" s="59"/>
      <c r="U104" s="62"/>
      <c r="V104" s="53"/>
      <c r="W104" s="2" t="str">
        <f t="shared" ca="1" si="28"/>
        <v/>
      </c>
      <c r="X104" s="2">
        <f t="shared" si="29"/>
        <v>0</v>
      </c>
      <c r="Y104" s="2" t="str">
        <f t="shared" ca="1" si="30"/>
        <v/>
      </c>
      <c r="Z104" s="1" t="str">
        <f t="shared" ca="1" si="31"/>
        <v/>
      </c>
      <c r="AA104" s="2" t="str">
        <f t="shared" ca="1" si="32"/>
        <v/>
      </c>
      <c r="AB104" s="2" t="str">
        <f t="shared" ca="1" si="33"/>
        <v/>
      </c>
      <c r="AC104" s="1" t="str">
        <f t="shared" ca="1" si="34"/>
        <v/>
      </c>
      <c r="AD104" t="str">
        <f t="shared" si="35"/>
        <v/>
      </c>
    </row>
    <row r="105" spans="1:30" s="2" customFormat="1">
      <c r="A105" s="30" t="str">
        <f t="shared" si="27"/>
        <v/>
      </c>
      <c r="B105" s="14"/>
      <c r="C105" s="4"/>
      <c r="D105" s="4"/>
      <c r="E105" s="4"/>
      <c r="F105" s="4"/>
      <c r="G105" s="4"/>
      <c r="H105" s="15"/>
      <c r="I105" s="14"/>
      <c r="J105" s="4"/>
      <c r="K105" s="4"/>
      <c r="L105" s="4"/>
      <c r="M105" s="4"/>
      <c r="N105" s="4"/>
      <c r="O105" s="13"/>
      <c r="P105" s="20"/>
      <c r="Q105" s="4"/>
      <c r="R105" s="66"/>
      <c r="S105" s="5"/>
      <c r="T105" s="59"/>
      <c r="U105" s="62"/>
      <c r="V105" s="53"/>
      <c r="W105" s="2" t="str">
        <f t="shared" ca="1" si="28"/>
        <v/>
      </c>
      <c r="X105" s="2">
        <f t="shared" si="29"/>
        <v>0</v>
      </c>
      <c r="Y105" s="2" t="str">
        <f t="shared" ca="1" si="30"/>
        <v/>
      </c>
      <c r="Z105" s="1" t="str">
        <f t="shared" ca="1" si="31"/>
        <v/>
      </c>
      <c r="AA105" s="2" t="str">
        <f t="shared" ca="1" si="32"/>
        <v/>
      </c>
      <c r="AB105" s="2" t="str">
        <f t="shared" ca="1" si="33"/>
        <v/>
      </c>
      <c r="AC105" s="1" t="str">
        <f t="shared" ca="1" si="34"/>
        <v/>
      </c>
      <c r="AD105" t="str">
        <f t="shared" si="35"/>
        <v/>
      </c>
    </row>
    <row r="106" spans="1:30" s="2" customFormat="1">
      <c r="A106" s="30" t="str">
        <f t="shared" si="27"/>
        <v/>
      </c>
      <c r="B106" s="14"/>
      <c r="C106" s="4"/>
      <c r="D106" s="4"/>
      <c r="E106" s="4"/>
      <c r="F106" s="4"/>
      <c r="G106" s="4"/>
      <c r="H106" s="15"/>
      <c r="I106" s="14"/>
      <c r="J106" s="4"/>
      <c r="K106" s="4"/>
      <c r="L106" s="4"/>
      <c r="M106" s="4"/>
      <c r="N106" s="4"/>
      <c r="O106" s="13"/>
      <c r="P106" s="20"/>
      <c r="Q106" s="4"/>
      <c r="R106" s="66"/>
      <c r="S106" s="5"/>
      <c r="T106" s="59"/>
      <c r="U106" s="62"/>
      <c r="V106" s="53"/>
      <c r="W106" s="2" t="str">
        <f t="shared" ca="1" si="28"/>
        <v/>
      </c>
      <c r="X106" s="2">
        <f t="shared" si="29"/>
        <v>0</v>
      </c>
      <c r="Y106" s="2" t="str">
        <f t="shared" ca="1" si="30"/>
        <v/>
      </c>
      <c r="Z106" s="1" t="str">
        <f t="shared" ca="1" si="31"/>
        <v/>
      </c>
      <c r="AA106" s="2" t="str">
        <f t="shared" ca="1" si="32"/>
        <v/>
      </c>
      <c r="AB106" s="2" t="str">
        <f t="shared" ca="1" si="33"/>
        <v/>
      </c>
      <c r="AC106" s="1" t="str">
        <f t="shared" ca="1" si="34"/>
        <v/>
      </c>
      <c r="AD106" t="str">
        <f t="shared" si="35"/>
        <v/>
      </c>
    </row>
    <row r="107" spans="1:30" s="2" customFormat="1">
      <c r="A107" s="30" t="str">
        <f t="shared" si="27"/>
        <v/>
      </c>
      <c r="B107" s="14"/>
      <c r="C107" s="4"/>
      <c r="D107" s="4"/>
      <c r="E107" s="4"/>
      <c r="F107" s="4"/>
      <c r="G107" s="4"/>
      <c r="H107" s="15"/>
      <c r="I107" s="14"/>
      <c r="J107" s="4"/>
      <c r="K107" s="4"/>
      <c r="L107" s="4"/>
      <c r="M107" s="4"/>
      <c r="N107" s="4"/>
      <c r="O107" s="13"/>
      <c r="P107" s="20"/>
      <c r="Q107" s="4"/>
      <c r="R107" s="66"/>
      <c r="S107" s="5"/>
      <c r="T107" s="59"/>
      <c r="U107" s="62"/>
      <c r="V107" s="53"/>
      <c r="W107" s="2" t="str">
        <f t="shared" ca="1" si="28"/>
        <v/>
      </c>
      <c r="X107" s="2">
        <f t="shared" si="29"/>
        <v>0</v>
      </c>
      <c r="Y107" s="2" t="str">
        <f t="shared" ca="1" si="30"/>
        <v/>
      </c>
      <c r="Z107" s="1" t="str">
        <f t="shared" ca="1" si="31"/>
        <v/>
      </c>
      <c r="AA107" s="2" t="str">
        <f t="shared" ca="1" si="32"/>
        <v/>
      </c>
      <c r="AB107" s="2" t="str">
        <f t="shared" ca="1" si="33"/>
        <v/>
      </c>
      <c r="AC107" s="1" t="str">
        <f t="shared" ca="1" si="34"/>
        <v/>
      </c>
      <c r="AD107" t="str">
        <f t="shared" si="35"/>
        <v/>
      </c>
    </row>
    <row r="108" spans="1:30" s="2" customFormat="1">
      <c r="A108" s="30" t="str">
        <f t="shared" si="27"/>
        <v/>
      </c>
      <c r="B108" s="14"/>
      <c r="C108" s="4"/>
      <c r="D108" s="4"/>
      <c r="E108" s="4"/>
      <c r="F108" s="4"/>
      <c r="G108" s="4"/>
      <c r="H108" s="15"/>
      <c r="I108" s="14"/>
      <c r="J108" s="4"/>
      <c r="K108" s="4"/>
      <c r="L108" s="4"/>
      <c r="M108" s="4"/>
      <c r="N108" s="4"/>
      <c r="O108" s="13"/>
      <c r="P108" s="20"/>
      <c r="Q108" s="4"/>
      <c r="R108" s="66"/>
      <c r="S108" s="5"/>
      <c r="T108" s="59"/>
      <c r="U108" s="62"/>
      <c r="V108" s="53"/>
      <c r="W108" s="2" t="str">
        <f t="shared" ca="1" si="28"/>
        <v/>
      </c>
      <c r="X108" s="2">
        <f t="shared" si="29"/>
        <v>0</v>
      </c>
      <c r="Y108" s="2" t="str">
        <f t="shared" ca="1" si="30"/>
        <v/>
      </c>
      <c r="Z108" s="1" t="str">
        <f t="shared" ca="1" si="31"/>
        <v/>
      </c>
      <c r="AA108" s="2" t="str">
        <f t="shared" ca="1" si="32"/>
        <v/>
      </c>
      <c r="AB108" s="2" t="str">
        <f t="shared" ca="1" si="33"/>
        <v/>
      </c>
      <c r="AC108" s="1" t="str">
        <f t="shared" ca="1" si="34"/>
        <v/>
      </c>
      <c r="AD108" t="str">
        <f t="shared" si="35"/>
        <v/>
      </c>
    </row>
    <row r="109" spans="1:30" s="2" customFormat="1">
      <c r="A109" s="30" t="str">
        <f t="shared" si="27"/>
        <v/>
      </c>
      <c r="B109" s="14"/>
      <c r="C109" s="4"/>
      <c r="D109" s="4"/>
      <c r="E109" s="4"/>
      <c r="F109" s="4"/>
      <c r="G109" s="4"/>
      <c r="H109" s="15"/>
      <c r="I109" s="14"/>
      <c r="J109" s="4"/>
      <c r="K109" s="4"/>
      <c r="L109" s="4"/>
      <c r="M109" s="4"/>
      <c r="N109" s="4"/>
      <c r="O109" s="13"/>
      <c r="P109" s="20"/>
      <c r="Q109" s="4"/>
      <c r="R109" s="66"/>
      <c r="S109" s="5"/>
      <c r="T109" s="59"/>
      <c r="U109" s="62"/>
      <c r="V109" s="53"/>
      <c r="W109" s="2" t="str">
        <f t="shared" ca="1" si="28"/>
        <v/>
      </c>
      <c r="X109" s="2">
        <f t="shared" si="29"/>
        <v>0</v>
      </c>
      <c r="Y109" s="2" t="str">
        <f t="shared" ca="1" si="30"/>
        <v/>
      </c>
      <c r="Z109" s="1" t="str">
        <f t="shared" ca="1" si="31"/>
        <v/>
      </c>
      <c r="AA109" s="2" t="str">
        <f t="shared" ca="1" si="32"/>
        <v/>
      </c>
      <c r="AB109" s="2" t="str">
        <f t="shared" ca="1" si="33"/>
        <v/>
      </c>
      <c r="AC109" s="1" t="str">
        <f t="shared" ca="1" si="34"/>
        <v/>
      </c>
      <c r="AD109" t="str">
        <f t="shared" si="35"/>
        <v/>
      </c>
    </row>
    <row r="110" spans="1:30" s="2" customFormat="1">
      <c r="A110" s="30" t="str">
        <f t="shared" si="27"/>
        <v/>
      </c>
      <c r="B110" s="14"/>
      <c r="C110" s="4"/>
      <c r="D110" s="4"/>
      <c r="E110" s="4"/>
      <c r="F110" s="4"/>
      <c r="G110" s="4"/>
      <c r="H110" s="15"/>
      <c r="I110" s="14"/>
      <c r="J110" s="4"/>
      <c r="K110" s="4"/>
      <c r="L110" s="4"/>
      <c r="M110" s="4"/>
      <c r="N110" s="4"/>
      <c r="O110" s="13"/>
      <c r="P110" s="20"/>
      <c r="Q110" s="4"/>
      <c r="R110" s="66"/>
      <c r="S110" s="5"/>
      <c r="T110" s="59"/>
      <c r="U110" s="62"/>
      <c r="V110" s="53"/>
      <c r="W110" s="2" t="str">
        <f t="shared" ca="1" si="28"/>
        <v/>
      </c>
      <c r="X110" s="2">
        <f t="shared" si="29"/>
        <v>0</v>
      </c>
      <c r="Y110" s="2" t="str">
        <f t="shared" ca="1" si="30"/>
        <v/>
      </c>
      <c r="Z110" s="1" t="str">
        <f t="shared" ca="1" si="31"/>
        <v/>
      </c>
      <c r="AA110" s="2" t="str">
        <f t="shared" ca="1" si="32"/>
        <v/>
      </c>
      <c r="AB110" s="2" t="str">
        <f t="shared" ca="1" si="33"/>
        <v/>
      </c>
      <c r="AC110" s="1" t="str">
        <f t="shared" ca="1" si="34"/>
        <v/>
      </c>
      <c r="AD110" t="str">
        <f t="shared" si="35"/>
        <v/>
      </c>
    </row>
    <row r="111" spans="1:30" s="2" customFormat="1">
      <c r="A111" s="30" t="str">
        <f t="shared" si="27"/>
        <v/>
      </c>
      <c r="B111" s="14"/>
      <c r="C111" s="4"/>
      <c r="D111" s="4"/>
      <c r="E111" s="4"/>
      <c r="F111" s="4"/>
      <c r="G111" s="4"/>
      <c r="H111" s="15"/>
      <c r="I111" s="14"/>
      <c r="J111" s="4"/>
      <c r="K111" s="4"/>
      <c r="L111" s="4"/>
      <c r="M111" s="4"/>
      <c r="N111" s="4"/>
      <c r="O111" s="13"/>
      <c r="P111" s="20"/>
      <c r="Q111" s="4"/>
      <c r="R111" s="66"/>
      <c r="S111" s="5"/>
      <c r="T111" s="59"/>
      <c r="U111" s="62"/>
      <c r="V111" s="53"/>
      <c r="W111" s="2" t="str">
        <f t="shared" ca="1" si="28"/>
        <v/>
      </c>
      <c r="X111" s="2">
        <f t="shared" si="29"/>
        <v>0</v>
      </c>
      <c r="Y111" s="2" t="str">
        <f t="shared" ca="1" si="30"/>
        <v/>
      </c>
      <c r="Z111" s="1" t="str">
        <f t="shared" ca="1" si="31"/>
        <v/>
      </c>
      <c r="AA111" s="2" t="str">
        <f t="shared" ca="1" si="32"/>
        <v/>
      </c>
      <c r="AB111" s="2" t="str">
        <f t="shared" ca="1" si="33"/>
        <v/>
      </c>
      <c r="AC111" s="1" t="str">
        <f t="shared" ca="1" si="34"/>
        <v/>
      </c>
      <c r="AD111" t="str">
        <f t="shared" si="35"/>
        <v/>
      </c>
    </row>
    <row r="112" spans="1:30" s="2" customFormat="1">
      <c r="A112" s="30" t="str">
        <f t="shared" si="27"/>
        <v/>
      </c>
      <c r="B112" s="14"/>
      <c r="C112" s="4"/>
      <c r="D112" s="4"/>
      <c r="E112" s="4"/>
      <c r="F112" s="4"/>
      <c r="G112" s="4"/>
      <c r="H112" s="15"/>
      <c r="I112" s="14"/>
      <c r="J112" s="4"/>
      <c r="K112" s="4"/>
      <c r="L112" s="4"/>
      <c r="M112" s="4"/>
      <c r="N112" s="4"/>
      <c r="O112" s="13"/>
      <c r="P112" s="20"/>
      <c r="Q112" s="4"/>
      <c r="R112" s="66"/>
      <c r="S112" s="5"/>
      <c r="T112" s="59"/>
      <c r="U112" s="62"/>
      <c r="V112" s="53"/>
      <c r="W112" s="2" t="str">
        <f t="shared" ca="1" si="28"/>
        <v/>
      </c>
      <c r="X112" s="2">
        <f t="shared" si="29"/>
        <v>0</v>
      </c>
      <c r="Y112" s="2" t="str">
        <f t="shared" ca="1" si="30"/>
        <v/>
      </c>
      <c r="Z112" s="1" t="str">
        <f t="shared" ca="1" si="31"/>
        <v/>
      </c>
      <c r="AA112" s="2" t="str">
        <f t="shared" ca="1" si="32"/>
        <v/>
      </c>
      <c r="AB112" s="2" t="str">
        <f t="shared" ca="1" si="33"/>
        <v/>
      </c>
      <c r="AC112" s="1" t="str">
        <f t="shared" ca="1" si="34"/>
        <v/>
      </c>
      <c r="AD112" t="str">
        <f t="shared" si="35"/>
        <v/>
      </c>
    </row>
    <row r="113" spans="1:30" s="2" customFormat="1">
      <c r="A113" s="30" t="str">
        <f t="shared" si="27"/>
        <v/>
      </c>
      <c r="B113" s="14"/>
      <c r="C113" s="4"/>
      <c r="D113" s="4"/>
      <c r="E113" s="4"/>
      <c r="F113" s="4"/>
      <c r="G113" s="4"/>
      <c r="H113" s="15"/>
      <c r="I113" s="14"/>
      <c r="J113" s="4"/>
      <c r="K113" s="4"/>
      <c r="L113" s="4"/>
      <c r="M113" s="4"/>
      <c r="N113" s="4"/>
      <c r="O113" s="13"/>
      <c r="P113" s="20"/>
      <c r="Q113" s="4"/>
      <c r="R113" s="66"/>
      <c r="S113" s="5"/>
      <c r="T113" s="59"/>
      <c r="U113" s="62"/>
      <c r="V113" s="53"/>
      <c r="W113" s="2" t="str">
        <f t="shared" ca="1" si="28"/>
        <v/>
      </c>
      <c r="X113" s="2">
        <f t="shared" si="29"/>
        <v>0</v>
      </c>
      <c r="Y113" s="2" t="str">
        <f t="shared" ca="1" si="30"/>
        <v/>
      </c>
      <c r="Z113" s="1" t="str">
        <f t="shared" ca="1" si="31"/>
        <v/>
      </c>
      <c r="AA113" s="2" t="str">
        <f t="shared" ca="1" si="32"/>
        <v/>
      </c>
      <c r="AB113" s="2" t="str">
        <f t="shared" ca="1" si="33"/>
        <v/>
      </c>
      <c r="AC113" s="1" t="str">
        <f t="shared" ca="1" si="34"/>
        <v/>
      </c>
      <c r="AD113" t="str">
        <f t="shared" si="35"/>
        <v/>
      </c>
    </row>
    <row r="114" spans="1:30" s="2" customFormat="1">
      <c r="A114" s="30" t="str">
        <f t="shared" si="27"/>
        <v/>
      </c>
      <c r="B114" s="14"/>
      <c r="C114" s="4"/>
      <c r="D114" s="4"/>
      <c r="E114" s="4"/>
      <c r="F114" s="4"/>
      <c r="G114" s="4"/>
      <c r="H114" s="15"/>
      <c r="I114" s="14"/>
      <c r="J114" s="4"/>
      <c r="K114" s="4"/>
      <c r="L114" s="4"/>
      <c r="M114" s="4"/>
      <c r="N114" s="4"/>
      <c r="O114" s="13"/>
      <c r="P114" s="20"/>
      <c r="Q114" s="4"/>
      <c r="R114" s="66"/>
      <c r="S114" s="5"/>
      <c r="T114" s="59"/>
      <c r="U114" s="62"/>
      <c r="V114" s="53"/>
      <c r="W114" s="2" t="str">
        <f t="shared" ca="1" si="28"/>
        <v/>
      </c>
      <c r="X114" s="2">
        <f t="shared" si="29"/>
        <v>0</v>
      </c>
      <c r="Y114" s="2" t="str">
        <f t="shared" ca="1" si="30"/>
        <v/>
      </c>
      <c r="Z114" s="1" t="str">
        <f t="shared" ca="1" si="31"/>
        <v/>
      </c>
      <c r="AA114" s="2" t="str">
        <f t="shared" ca="1" si="32"/>
        <v/>
      </c>
      <c r="AB114" s="2" t="str">
        <f t="shared" ca="1" si="33"/>
        <v/>
      </c>
      <c r="AC114" s="1" t="str">
        <f t="shared" ca="1" si="34"/>
        <v/>
      </c>
      <c r="AD114" t="str">
        <f t="shared" si="35"/>
        <v/>
      </c>
    </row>
    <row r="115" spans="1:30" s="2" customFormat="1">
      <c r="A115" s="30" t="str">
        <f t="shared" si="27"/>
        <v/>
      </c>
      <c r="B115" s="14"/>
      <c r="C115" s="4"/>
      <c r="D115" s="4"/>
      <c r="E115" s="4"/>
      <c r="F115" s="4"/>
      <c r="G115" s="4"/>
      <c r="H115" s="15"/>
      <c r="I115" s="14"/>
      <c r="J115" s="4"/>
      <c r="K115" s="4"/>
      <c r="L115" s="4"/>
      <c r="M115" s="4"/>
      <c r="N115" s="4"/>
      <c r="O115" s="13"/>
      <c r="P115" s="20"/>
      <c r="Q115" s="4"/>
      <c r="R115" s="66"/>
      <c r="S115" s="5"/>
      <c r="T115" s="59"/>
      <c r="U115" s="62"/>
      <c r="V115" s="53"/>
      <c r="W115" s="2" t="str">
        <f t="shared" ca="1" si="28"/>
        <v/>
      </c>
      <c r="X115" s="2">
        <f t="shared" si="29"/>
        <v>0</v>
      </c>
      <c r="Y115" s="2" t="str">
        <f t="shared" ca="1" si="30"/>
        <v/>
      </c>
      <c r="Z115" s="1" t="str">
        <f t="shared" ca="1" si="31"/>
        <v/>
      </c>
      <c r="AA115" s="2" t="str">
        <f t="shared" ca="1" si="32"/>
        <v/>
      </c>
      <c r="AB115" s="2" t="str">
        <f t="shared" ca="1" si="33"/>
        <v/>
      </c>
      <c r="AC115" s="1" t="str">
        <f t="shared" ca="1" si="34"/>
        <v/>
      </c>
      <c r="AD115" t="str">
        <f t="shared" si="35"/>
        <v/>
      </c>
    </row>
    <row r="116" spans="1:30" s="2" customFormat="1">
      <c r="A116" s="30" t="str">
        <f t="shared" si="27"/>
        <v/>
      </c>
      <c r="B116" s="14"/>
      <c r="C116" s="4"/>
      <c r="D116" s="4"/>
      <c r="E116" s="4"/>
      <c r="F116" s="4"/>
      <c r="G116" s="4"/>
      <c r="H116" s="15"/>
      <c r="I116" s="14"/>
      <c r="J116" s="4"/>
      <c r="K116" s="4"/>
      <c r="L116" s="4"/>
      <c r="M116" s="4"/>
      <c r="N116" s="4"/>
      <c r="O116" s="13"/>
      <c r="P116" s="20"/>
      <c r="Q116" s="4"/>
      <c r="R116" s="66"/>
      <c r="S116" s="5"/>
      <c r="T116" s="59"/>
      <c r="U116" s="62"/>
      <c r="V116" s="53"/>
      <c r="W116" s="2" t="str">
        <f t="shared" ca="1" si="28"/>
        <v/>
      </c>
      <c r="X116" s="2">
        <f t="shared" si="29"/>
        <v>0</v>
      </c>
      <c r="Y116" s="2" t="str">
        <f t="shared" ca="1" si="30"/>
        <v/>
      </c>
      <c r="Z116" s="1" t="str">
        <f t="shared" ca="1" si="31"/>
        <v/>
      </c>
      <c r="AA116" s="2" t="str">
        <f t="shared" ca="1" si="32"/>
        <v/>
      </c>
      <c r="AB116" s="2" t="str">
        <f t="shared" ca="1" si="33"/>
        <v/>
      </c>
      <c r="AC116" s="1" t="str">
        <f t="shared" ca="1" si="34"/>
        <v/>
      </c>
      <c r="AD116" t="str">
        <f t="shared" si="35"/>
        <v/>
      </c>
    </row>
    <row r="117" spans="1:30" s="2" customFormat="1">
      <c r="A117" s="30" t="str">
        <f t="shared" si="27"/>
        <v/>
      </c>
      <c r="B117" s="14"/>
      <c r="C117" s="4"/>
      <c r="D117" s="4"/>
      <c r="E117" s="4"/>
      <c r="F117" s="4"/>
      <c r="G117" s="4"/>
      <c r="H117" s="15"/>
      <c r="I117" s="14"/>
      <c r="J117" s="4"/>
      <c r="K117" s="4"/>
      <c r="L117" s="4"/>
      <c r="M117" s="4"/>
      <c r="N117" s="4"/>
      <c r="O117" s="13"/>
      <c r="P117" s="20"/>
      <c r="Q117" s="4"/>
      <c r="R117" s="66"/>
      <c r="S117" s="5"/>
      <c r="T117" s="59"/>
      <c r="U117" s="62"/>
      <c r="V117" s="53"/>
      <c r="W117" s="2" t="str">
        <f t="shared" ca="1" si="28"/>
        <v/>
      </c>
      <c r="X117" s="2">
        <f t="shared" si="29"/>
        <v>0</v>
      </c>
      <c r="Y117" s="2" t="str">
        <f t="shared" ca="1" si="30"/>
        <v/>
      </c>
      <c r="Z117" s="1" t="str">
        <f t="shared" ca="1" si="31"/>
        <v/>
      </c>
      <c r="AA117" s="2" t="str">
        <f t="shared" ca="1" si="32"/>
        <v/>
      </c>
      <c r="AB117" s="2" t="str">
        <f t="shared" ca="1" si="33"/>
        <v/>
      </c>
      <c r="AC117" s="1" t="str">
        <f t="shared" ca="1" si="34"/>
        <v/>
      </c>
      <c r="AD117" t="str">
        <f t="shared" si="35"/>
        <v/>
      </c>
    </row>
    <row r="118" spans="1:30" s="2" customFormat="1">
      <c r="A118" s="30" t="str">
        <f t="shared" si="27"/>
        <v/>
      </c>
      <c r="B118" s="14"/>
      <c r="C118" s="4"/>
      <c r="D118" s="4"/>
      <c r="E118" s="4"/>
      <c r="F118" s="4"/>
      <c r="G118" s="4"/>
      <c r="H118" s="15"/>
      <c r="I118" s="14"/>
      <c r="J118" s="4"/>
      <c r="K118" s="4"/>
      <c r="L118" s="4"/>
      <c r="M118" s="4"/>
      <c r="N118" s="4"/>
      <c r="O118" s="13"/>
      <c r="P118" s="20"/>
      <c r="Q118" s="4"/>
      <c r="R118" s="66"/>
      <c r="S118" s="5"/>
      <c r="T118" s="59"/>
      <c r="U118" s="62"/>
      <c r="V118" s="53"/>
      <c r="W118" s="2" t="str">
        <f t="shared" ca="1" si="28"/>
        <v/>
      </c>
      <c r="X118" s="2">
        <f t="shared" si="29"/>
        <v>0</v>
      </c>
      <c r="Y118" s="2" t="str">
        <f t="shared" ca="1" si="30"/>
        <v/>
      </c>
      <c r="Z118" s="1" t="str">
        <f t="shared" ca="1" si="31"/>
        <v/>
      </c>
      <c r="AA118" s="2" t="str">
        <f t="shared" ca="1" si="32"/>
        <v/>
      </c>
      <c r="AB118" s="2" t="str">
        <f t="shared" ca="1" si="33"/>
        <v/>
      </c>
      <c r="AC118" s="1" t="str">
        <f t="shared" ca="1" si="34"/>
        <v/>
      </c>
      <c r="AD118" t="str">
        <f t="shared" si="35"/>
        <v/>
      </c>
    </row>
    <row r="119" spans="1:30" s="2" customFormat="1">
      <c r="A119" s="30" t="str">
        <f t="shared" si="27"/>
        <v/>
      </c>
      <c r="B119" s="14"/>
      <c r="C119" s="4"/>
      <c r="D119" s="4"/>
      <c r="E119" s="4"/>
      <c r="F119" s="4"/>
      <c r="G119" s="4"/>
      <c r="H119" s="15"/>
      <c r="I119" s="14"/>
      <c r="J119" s="4"/>
      <c r="K119" s="4"/>
      <c r="L119" s="4"/>
      <c r="M119" s="4"/>
      <c r="N119" s="4"/>
      <c r="O119" s="13"/>
      <c r="P119" s="20"/>
      <c r="Q119" s="4"/>
      <c r="R119" s="66"/>
      <c r="S119" s="5"/>
      <c r="T119" s="59"/>
      <c r="U119" s="62"/>
      <c r="V119" s="53"/>
      <c r="W119" s="2" t="str">
        <f t="shared" ca="1" si="28"/>
        <v/>
      </c>
      <c r="X119" s="2">
        <f t="shared" si="29"/>
        <v>0</v>
      </c>
      <c r="Y119" s="2" t="str">
        <f t="shared" ca="1" si="30"/>
        <v/>
      </c>
      <c r="Z119" s="1" t="str">
        <f t="shared" ca="1" si="31"/>
        <v/>
      </c>
      <c r="AA119" s="2" t="str">
        <f t="shared" ca="1" si="32"/>
        <v/>
      </c>
      <c r="AB119" s="2" t="str">
        <f t="shared" ca="1" si="33"/>
        <v/>
      </c>
      <c r="AC119" s="1" t="str">
        <f t="shared" ca="1" si="34"/>
        <v/>
      </c>
      <c r="AD119" t="str">
        <f t="shared" si="35"/>
        <v/>
      </c>
    </row>
    <row r="120" spans="1:30" s="2" customFormat="1">
      <c r="A120" s="30" t="str">
        <f t="shared" si="27"/>
        <v/>
      </c>
      <c r="B120" s="14"/>
      <c r="C120" s="4"/>
      <c r="D120" s="4"/>
      <c r="E120" s="4"/>
      <c r="F120" s="4"/>
      <c r="G120" s="4"/>
      <c r="H120" s="15"/>
      <c r="I120" s="14"/>
      <c r="J120" s="4"/>
      <c r="K120" s="4"/>
      <c r="L120" s="4"/>
      <c r="M120" s="4"/>
      <c r="N120" s="4"/>
      <c r="O120" s="13"/>
      <c r="P120" s="20"/>
      <c r="Q120" s="4"/>
      <c r="R120" s="66"/>
      <c r="S120" s="5"/>
      <c r="T120" s="59"/>
      <c r="U120" s="62"/>
      <c r="V120" s="53"/>
      <c r="W120" s="2" t="str">
        <f t="shared" ca="1" si="28"/>
        <v/>
      </c>
      <c r="X120" s="2">
        <f t="shared" si="29"/>
        <v>0</v>
      </c>
      <c r="Y120" s="2" t="str">
        <f t="shared" ca="1" si="30"/>
        <v/>
      </c>
      <c r="Z120" s="1" t="str">
        <f t="shared" ca="1" si="31"/>
        <v/>
      </c>
      <c r="AA120" s="2" t="str">
        <f t="shared" ca="1" si="32"/>
        <v/>
      </c>
      <c r="AB120" s="2" t="str">
        <f t="shared" ca="1" si="33"/>
        <v/>
      </c>
      <c r="AC120" s="1" t="str">
        <f t="shared" ca="1" si="34"/>
        <v/>
      </c>
      <c r="AD120" t="str">
        <f t="shared" si="35"/>
        <v/>
      </c>
    </row>
    <row r="121" spans="1:30" s="2" customFormat="1">
      <c r="A121" s="30" t="str">
        <f t="shared" si="27"/>
        <v/>
      </c>
      <c r="B121" s="14"/>
      <c r="C121" s="4"/>
      <c r="D121" s="4"/>
      <c r="E121" s="4"/>
      <c r="F121" s="4"/>
      <c r="G121" s="4"/>
      <c r="H121" s="15"/>
      <c r="I121" s="14"/>
      <c r="J121" s="4"/>
      <c r="K121" s="4"/>
      <c r="L121" s="4"/>
      <c r="M121" s="4"/>
      <c r="N121" s="4"/>
      <c r="O121" s="13"/>
      <c r="P121" s="20"/>
      <c r="Q121" s="4"/>
      <c r="R121" s="66"/>
      <c r="S121" s="5"/>
      <c r="T121" s="59"/>
      <c r="U121" s="62"/>
      <c r="V121" s="53"/>
      <c r="W121" s="2" t="str">
        <f t="shared" ca="1" si="28"/>
        <v/>
      </c>
      <c r="X121" s="2">
        <f t="shared" si="29"/>
        <v>0</v>
      </c>
      <c r="Y121" s="2" t="str">
        <f t="shared" ca="1" si="30"/>
        <v/>
      </c>
      <c r="Z121" s="1" t="str">
        <f t="shared" ca="1" si="31"/>
        <v/>
      </c>
      <c r="AA121" s="2" t="str">
        <f t="shared" ca="1" si="32"/>
        <v/>
      </c>
      <c r="AB121" s="2" t="str">
        <f t="shared" ca="1" si="33"/>
        <v/>
      </c>
      <c r="AC121" s="1" t="str">
        <f t="shared" ca="1" si="34"/>
        <v/>
      </c>
      <c r="AD121" t="str">
        <f t="shared" si="35"/>
        <v/>
      </c>
    </row>
    <row r="122" spans="1:30" s="2" customFormat="1">
      <c r="A122" s="30" t="str">
        <f t="shared" si="27"/>
        <v/>
      </c>
      <c r="B122" s="14"/>
      <c r="C122" s="4"/>
      <c r="D122" s="4"/>
      <c r="E122" s="4"/>
      <c r="F122" s="4"/>
      <c r="G122" s="4"/>
      <c r="H122" s="15"/>
      <c r="I122" s="14"/>
      <c r="J122" s="4"/>
      <c r="K122" s="4"/>
      <c r="L122" s="4"/>
      <c r="M122" s="4"/>
      <c r="N122" s="4"/>
      <c r="O122" s="13"/>
      <c r="P122" s="20"/>
      <c r="Q122" s="4"/>
      <c r="R122" s="66"/>
      <c r="S122" s="5"/>
      <c r="T122" s="59"/>
      <c r="U122" s="62"/>
      <c r="V122" s="53"/>
      <c r="W122" s="2" t="str">
        <f t="shared" ca="1" si="28"/>
        <v/>
      </c>
      <c r="X122" s="2">
        <f t="shared" si="29"/>
        <v>0</v>
      </c>
      <c r="Y122" s="2" t="str">
        <f t="shared" ca="1" si="30"/>
        <v/>
      </c>
      <c r="Z122" s="1" t="str">
        <f t="shared" ca="1" si="31"/>
        <v/>
      </c>
      <c r="AA122" s="2" t="str">
        <f t="shared" ca="1" si="32"/>
        <v/>
      </c>
      <c r="AB122" s="2" t="str">
        <f t="shared" ca="1" si="33"/>
        <v/>
      </c>
      <c r="AC122" s="1" t="str">
        <f t="shared" ca="1" si="34"/>
        <v/>
      </c>
      <c r="AD122" t="str">
        <f t="shared" si="35"/>
        <v/>
      </c>
    </row>
    <row r="123" spans="1:30" s="2" customFormat="1">
      <c r="A123" s="30" t="str">
        <f t="shared" si="27"/>
        <v/>
      </c>
      <c r="B123" s="14"/>
      <c r="C123" s="4"/>
      <c r="D123" s="4"/>
      <c r="E123" s="4"/>
      <c r="F123" s="4"/>
      <c r="G123" s="4"/>
      <c r="H123" s="15"/>
      <c r="I123" s="14"/>
      <c r="J123" s="4"/>
      <c r="K123" s="4"/>
      <c r="L123" s="4"/>
      <c r="M123" s="4"/>
      <c r="N123" s="4"/>
      <c r="O123" s="13"/>
      <c r="P123" s="20"/>
      <c r="Q123" s="4"/>
      <c r="R123" s="66"/>
      <c r="S123" s="5"/>
      <c r="T123" s="59"/>
      <c r="U123" s="62"/>
      <c r="V123" s="53"/>
      <c r="W123" s="2" t="str">
        <f t="shared" ca="1" si="28"/>
        <v/>
      </c>
      <c r="X123" s="2">
        <f t="shared" si="29"/>
        <v>0</v>
      </c>
      <c r="Y123" s="2" t="str">
        <f t="shared" ca="1" si="30"/>
        <v/>
      </c>
      <c r="Z123" s="1" t="str">
        <f t="shared" ca="1" si="31"/>
        <v/>
      </c>
      <c r="AA123" s="2" t="str">
        <f t="shared" ca="1" si="32"/>
        <v/>
      </c>
      <c r="AB123" s="2" t="str">
        <f t="shared" ca="1" si="33"/>
        <v/>
      </c>
      <c r="AC123" s="1" t="str">
        <f t="shared" ca="1" si="34"/>
        <v/>
      </c>
      <c r="AD123" t="str">
        <f t="shared" si="35"/>
        <v/>
      </c>
    </row>
    <row r="124" spans="1:30" s="2" customFormat="1">
      <c r="A124" s="30" t="str">
        <f t="shared" si="27"/>
        <v/>
      </c>
      <c r="B124" s="14"/>
      <c r="C124" s="4"/>
      <c r="D124" s="4"/>
      <c r="E124" s="4"/>
      <c r="F124" s="4"/>
      <c r="G124" s="4"/>
      <c r="H124" s="15"/>
      <c r="I124" s="14"/>
      <c r="J124" s="4"/>
      <c r="K124" s="4"/>
      <c r="L124" s="4"/>
      <c r="M124" s="4"/>
      <c r="N124" s="4"/>
      <c r="O124" s="13"/>
      <c r="P124" s="20"/>
      <c r="Q124" s="4"/>
      <c r="R124" s="66"/>
      <c r="S124" s="5"/>
      <c r="T124" s="59"/>
      <c r="U124" s="62"/>
      <c r="V124" s="53"/>
      <c r="W124" s="2" t="str">
        <f t="shared" ca="1" si="28"/>
        <v/>
      </c>
      <c r="X124" s="2">
        <f t="shared" si="29"/>
        <v>0</v>
      </c>
      <c r="Y124" s="2" t="str">
        <f t="shared" ca="1" si="30"/>
        <v/>
      </c>
      <c r="Z124" s="1" t="str">
        <f t="shared" ca="1" si="31"/>
        <v/>
      </c>
      <c r="AA124" s="2" t="str">
        <f t="shared" ca="1" si="32"/>
        <v/>
      </c>
      <c r="AB124" s="2" t="str">
        <f t="shared" ca="1" si="33"/>
        <v/>
      </c>
      <c r="AC124" s="1" t="str">
        <f t="shared" ca="1" si="34"/>
        <v/>
      </c>
      <c r="AD124" t="str">
        <f t="shared" si="35"/>
        <v/>
      </c>
    </row>
    <row r="125" spans="1:30" s="2" customFormat="1">
      <c r="A125" s="30" t="str">
        <f t="shared" si="27"/>
        <v/>
      </c>
      <c r="B125" s="14"/>
      <c r="C125" s="4"/>
      <c r="D125" s="4"/>
      <c r="E125" s="4"/>
      <c r="F125" s="4"/>
      <c r="G125" s="4"/>
      <c r="H125" s="15"/>
      <c r="I125" s="14"/>
      <c r="J125" s="4"/>
      <c r="K125" s="4"/>
      <c r="L125" s="4"/>
      <c r="M125" s="4"/>
      <c r="N125" s="4"/>
      <c r="O125" s="13"/>
      <c r="P125" s="20"/>
      <c r="Q125" s="4"/>
      <c r="R125" s="66"/>
      <c r="S125" s="5"/>
      <c r="T125" s="59"/>
      <c r="U125" s="62"/>
      <c r="V125" s="53"/>
      <c r="W125" s="2" t="str">
        <f t="shared" ca="1" si="28"/>
        <v/>
      </c>
      <c r="X125" s="2">
        <f t="shared" si="29"/>
        <v>0</v>
      </c>
      <c r="Y125" s="2" t="str">
        <f t="shared" ca="1" si="30"/>
        <v/>
      </c>
      <c r="Z125" s="1" t="str">
        <f t="shared" ca="1" si="31"/>
        <v/>
      </c>
      <c r="AA125" s="2" t="str">
        <f t="shared" ca="1" si="32"/>
        <v/>
      </c>
      <c r="AB125" s="2" t="str">
        <f t="shared" ca="1" si="33"/>
        <v/>
      </c>
      <c r="AC125" s="1" t="str">
        <f t="shared" ca="1" si="34"/>
        <v/>
      </c>
      <c r="AD125" t="str">
        <f t="shared" si="35"/>
        <v/>
      </c>
    </row>
    <row r="126" spans="1:30" s="2" customFormat="1">
      <c r="A126" s="30" t="str">
        <f t="shared" si="27"/>
        <v/>
      </c>
      <c r="B126" s="14"/>
      <c r="C126" s="4"/>
      <c r="D126" s="4"/>
      <c r="E126" s="4"/>
      <c r="F126" s="4"/>
      <c r="G126" s="4"/>
      <c r="H126" s="15"/>
      <c r="I126" s="14"/>
      <c r="J126" s="4"/>
      <c r="K126" s="4"/>
      <c r="L126" s="4"/>
      <c r="M126" s="4"/>
      <c r="N126" s="4"/>
      <c r="O126" s="13"/>
      <c r="P126" s="20"/>
      <c r="Q126" s="4"/>
      <c r="R126" s="66"/>
      <c r="S126" s="5"/>
      <c r="T126" s="59"/>
      <c r="U126" s="62"/>
      <c r="V126" s="53"/>
      <c r="W126" s="2" t="str">
        <f t="shared" ca="1" si="28"/>
        <v/>
      </c>
      <c r="X126" s="2">
        <f t="shared" si="29"/>
        <v>0</v>
      </c>
      <c r="Y126" s="2" t="str">
        <f t="shared" ca="1" si="30"/>
        <v/>
      </c>
      <c r="Z126" s="1" t="str">
        <f t="shared" ca="1" si="31"/>
        <v/>
      </c>
      <c r="AA126" s="2" t="str">
        <f t="shared" ca="1" si="32"/>
        <v/>
      </c>
      <c r="AB126" s="2" t="str">
        <f t="shared" ca="1" si="33"/>
        <v/>
      </c>
      <c r="AC126" s="1" t="str">
        <f t="shared" ca="1" si="34"/>
        <v/>
      </c>
      <c r="AD126" t="str">
        <f t="shared" si="35"/>
        <v/>
      </c>
    </row>
    <row r="127" spans="1:30" s="2" customFormat="1">
      <c r="A127" s="30" t="str">
        <f t="shared" si="27"/>
        <v/>
      </c>
      <c r="B127" s="14"/>
      <c r="C127" s="4"/>
      <c r="D127" s="4"/>
      <c r="E127" s="4"/>
      <c r="F127" s="4"/>
      <c r="G127" s="4"/>
      <c r="H127" s="15"/>
      <c r="I127" s="14"/>
      <c r="J127" s="4"/>
      <c r="K127" s="4"/>
      <c r="L127" s="4"/>
      <c r="M127" s="4"/>
      <c r="N127" s="4"/>
      <c r="O127" s="13"/>
      <c r="P127" s="20"/>
      <c r="Q127" s="4"/>
      <c r="R127" s="66"/>
      <c r="S127" s="5"/>
      <c r="T127" s="59"/>
      <c r="U127" s="62"/>
      <c r="V127" s="53"/>
      <c r="W127" s="2" t="str">
        <f t="shared" ca="1" si="28"/>
        <v/>
      </c>
      <c r="X127" s="2">
        <f t="shared" si="29"/>
        <v>0</v>
      </c>
      <c r="Y127" s="2" t="str">
        <f t="shared" ca="1" si="30"/>
        <v/>
      </c>
      <c r="Z127" s="1" t="str">
        <f t="shared" ca="1" si="31"/>
        <v/>
      </c>
      <c r="AA127" s="2" t="str">
        <f t="shared" ca="1" si="32"/>
        <v/>
      </c>
      <c r="AB127" s="2" t="str">
        <f t="shared" ca="1" si="33"/>
        <v/>
      </c>
      <c r="AC127" s="1" t="str">
        <f t="shared" ca="1" si="34"/>
        <v/>
      </c>
      <c r="AD127" t="str">
        <f t="shared" si="35"/>
        <v/>
      </c>
    </row>
    <row r="128" spans="1:30" s="2" customFormat="1">
      <c r="A128" s="30" t="str">
        <f t="shared" si="27"/>
        <v/>
      </c>
      <c r="B128" s="14"/>
      <c r="C128" s="4"/>
      <c r="D128" s="4"/>
      <c r="E128" s="4"/>
      <c r="F128" s="4"/>
      <c r="G128" s="4"/>
      <c r="H128" s="15"/>
      <c r="I128" s="14"/>
      <c r="J128" s="4"/>
      <c r="K128" s="4"/>
      <c r="L128" s="4"/>
      <c r="M128" s="4"/>
      <c r="N128" s="4"/>
      <c r="O128" s="13"/>
      <c r="P128" s="20"/>
      <c r="Q128" s="4"/>
      <c r="R128" s="66"/>
      <c r="S128" s="5"/>
      <c r="T128" s="59"/>
      <c r="U128" s="62"/>
      <c r="V128" s="53"/>
      <c r="W128" s="2" t="str">
        <f t="shared" ca="1" si="28"/>
        <v/>
      </c>
      <c r="X128" s="2">
        <f t="shared" si="29"/>
        <v>0</v>
      </c>
      <c r="Y128" s="2" t="str">
        <f t="shared" ca="1" si="30"/>
        <v/>
      </c>
      <c r="Z128" s="1" t="str">
        <f t="shared" ca="1" si="31"/>
        <v/>
      </c>
      <c r="AA128" s="2" t="str">
        <f t="shared" ca="1" si="32"/>
        <v/>
      </c>
      <c r="AB128" s="2" t="str">
        <f t="shared" ca="1" si="33"/>
        <v/>
      </c>
      <c r="AC128" s="1" t="str">
        <f t="shared" ca="1" si="34"/>
        <v/>
      </c>
      <c r="AD128" t="str">
        <f t="shared" si="35"/>
        <v/>
      </c>
    </row>
    <row r="129" spans="1:30" s="2" customFormat="1">
      <c r="A129" s="30" t="str">
        <f t="shared" si="27"/>
        <v/>
      </c>
      <c r="B129" s="14"/>
      <c r="C129" s="4"/>
      <c r="D129" s="4"/>
      <c r="E129" s="4"/>
      <c r="F129" s="4"/>
      <c r="G129" s="4"/>
      <c r="H129" s="15"/>
      <c r="I129" s="14"/>
      <c r="J129" s="4"/>
      <c r="K129" s="4"/>
      <c r="L129" s="4"/>
      <c r="M129" s="4"/>
      <c r="N129" s="4"/>
      <c r="O129" s="13"/>
      <c r="P129" s="20"/>
      <c r="Q129" s="4"/>
      <c r="R129" s="66"/>
      <c r="S129" s="5"/>
      <c r="T129" s="59"/>
      <c r="U129" s="62"/>
      <c r="V129" s="53"/>
      <c r="W129" s="2" t="str">
        <f t="shared" ca="1" si="28"/>
        <v/>
      </c>
      <c r="X129" s="2">
        <f t="shared" si="29"/>
        <v>0</v>
      </c>
      <c r="Y129" s="2" t="str">
        <f t="shared" ca="1" si="30"/>
        <v/>
      </c>
      <c r="Z129" s="1" t="str">
        <f t="shared" ca="1" si="31"/>
        <v/>
      </c>
      <c r="AA129" s="2" t="str">
        <f t="shared" ca="1" si="32"/>
        <v/>
      </c>
      <c r="AB129" s="2" t="str">
        <f t="shared" ca="1" si="33"/>
        <v/>
      </c>
      <c r="AC129" s="1" t="str">
        <f t="shared" ca="1" si="34"/>
        <v/>
      </c>
      <c r="AD129" t="str">
        <f t="shared" si="35"/>
        <v/>
      </c>
    </row>
    <row r="130" spans="1:30" s="2" customFormat="1">
      <c r="A130" s="30" t="str">
        <f t="shared" si="27"/>
        <v/>
      </c>
      <c r="B130" s="14"/>
      <c r="C130" s="4"/>
      <c r="D130" s="4"/>
      <c r="E130" s="4"/>
      <c r="F130" s="4"/>
      <c r="G130" s="4"/>
      <c r="H130" s="15"/>
      <c r="I130" s="14"/>
      <c r="J130" s="4"/>
      <c r="K130" s="4"/>
      <c r="L130" s="4"/>
      <c r="M130" s="4"/>
      <c r="N130" s="4"/>
      <c r="O130" s="13"/>
      <c r="P130" s="20"/>
      <c r="Q130" s="4"/>
      <c r="R130" s="66"/>
      <c r="S130" s="5"/>
      <c r="T130" s="59"/>
      <c r="U130" s="62"/>
      <c r="V130" s="53"/>
      <c r="W130" s="2" t="str">
        <f t="shared" ca="1" si="28"/>
        <v/>
      </c>
      <c r="X130" s="2">
        <f t="shared" si="29"/>
        <v>0</v>
      </c>
      <c r="Y130" s="2" t="str">
        <f t="shared" ca="1" si="30"/>
        <v/>
      </c>
      <c r="Z130" s="1" t="str">
        <f t="shared" ca="1" si="31"/>
        <v/>
      </c>
      <c r="AA130" s="2" t="str">
        <f t="shared" ca="1" si="32"/>
        <v/>
      </c>
      <c r="AB130" s="2" t="str">
        <f t="shared" ca="1" si="33"/>
        <v/>
      </c>
      <c r="AC130" s="1" t="str">
        <f t="shared" ca="1" si="34"/>
        <v/>
      </c>
      <c r="AD130" t="str">
        <f t="shared" si="35"/>
        <v/>
      </c>
    </row>
    <row r="131" spans="1:30" s="2" customFormat="1">
      <c r="A131" s="30" t="str">
        <f t="shared" si="27"/>
        <v/>
      </c>
      <c r="B131" s="14"/>
      <c r="C131" s="4"/>
      <c r="D131" s="4"/>
      <c r="E131" s="4"/>
      <c r="F131" s="4"/>
      <c r="G131" s="4"/>
      <c r="H131" s="15"/>
      <c r="I131" s="14"/>
      <c r="J131" s="4"/>
      <c r="K131" s="4"/>
      <c r="L131" s="4"/>
      <c r="M131" s="4"/>
      <c r="N131" s="4"/>
      <c r="O131" s="13"/>
      <c r="P131" s="20"/>
      <c r="Q131" s="4"/>
      <c r="R131" s="66"/>
      <c r="S131" s="5"/>
      <c r="T131" s="59"/>
      <c r="U131" s="62"/>
      <c r="V131" s="53"/>
      <c r="W131" s="2" t="str">
        <f t="shared" ca="1" si="28"/>
        <v/>
      </c>
      <c r="X131" s="2">
        <f t="shared" si="29"/>
        <v>0</v>
      </c>
      <c r="Y131" s="2" t="str">
        <f t="shared" ca="1" si="30"/>
        <v/>
      </c>
      <c r="Z131" s="1" t="str">
        <f t="shared" ca="1" si="31"/>
        <v/>
      </c>
      <c r="AA131" s="2" t="str">
        <f t="shared" ca="1" si="32"/>
        <v/>
      </c>
      <c r="AB131" s="2" t="str">
        <f t="shared" ca="1" si="33"/>
        <v/>
      </c>
      <c r="AC131" s="1" t="str">
        <f t="shared" ca="1" si="34"/>
        <v/>
      </c>
      <c r="AD131" t="str">
        <f t="shared" si="35"/>
        <v/>
      </c>
    </row>
    <row r="132" spans="1:30" s="2" customFormat="1">
      <c r="A132" s="30" t="str">
        <f t="shared" si="27"/>
        <v/>
      </c>
      <c r="B132" s="14"/>
      <c r="C132" s="4"/>
      <c r="D132" s="4"/>
      <c r="E132" s="4"/>
      <c r="F132" s="4"/>
      <c r="G132" s="4"/>
      <c r="H132" s="15"/>
      <c r="I132" s="14"/>
      <c r="J132" s="4"/>
      <c r="K132" s="4"/>
      <c r="L132" s="4"/>
      <c r="M132" s="4"/>
      <c r="N132" s="4"/>
      <c r="O132" s="13"/>
      <c r="P132" s="20"/>
      <c r="Q132" s="4"/>
      <c r="R132" s="66"/>
      <c r="S132" s="5"/>
      <c r="T132" s="59"/>
      <c r="U132" s="62"/>
      <c r="V132" s="53"/>
      <c r="W132" s="2" t="str">
        <f t="shared" ca="1" si="28"/>
        <v/>
      </c>
      <c r="X132" s="2">
        <f t="shared" si="29"/>
        <v>0</v>
      </c>
      <c r="Y132" s="2" t="str">
        <f t="shared" ca="1" si="30"/>
        <v/>
      </c>
      <c r="Z132" s="1" t="str">
        <f t="shared" ca="1" si="31"/>
        <v/>
      </c>
      <c r="AA132" s="2" t="str">
        <f t="shared" ca="1" si="32"/>
        <v/>
      </c>
      <c r="AB132" s="2" t="str">
        <f t="shared" ca="1" si="33"/>
        <v/>
      </c>
      <c r="AC132" s="1" t="str">
        <f t="shared" ca="1" si="34"/>
        <v/>
      </c>
      <c r="AD132" t="str">
        <f t="shared" si="35"/>
        <v/>
      </c>
    </row>
    <row r="133" spans="1:30" s="2" customFormat="1">
      <c r="A133" s="30" t="str">
        <f t="shared" ref="A133:A164" si="36">IF(NOT(COUNTA(B133:H133)),"",ROW()-4)</f>
        <v/>
      </c>
      <c r="B133" s="14"/>
      <c r="C133" s="4"/>
      <c r="D133" s="4"/>
      <c r="E133" s="4"/>
      <c r="F133" s="4"/>
      <c r="G133" s="4"/>
      <c r="H133" s="15"/>
      <c r="I133" s="14"/>
      <c r="J133" s="4"/>
      <c r="K133" s="4"/>
      <c r="L133" s="4"/>
      <c r="M133" s="4"/>
      <c r="N133" s="4"/>
      <c r="O133" s="13"/>
      <c r="P133" s="20"/>
      <c r="Q133" s="4"/>
      <c r="R133" s="66"/>
      <c r="S133" s="5"/>
      <c r="T133" s="59"/>
      <c r="U133" s="62"/>
      <c r="V133" s="53"/>
      <c r="W133" s="2" t="str">
        <f t="shared" ref="W133:W164" ca="1" si="37">IF(ISNA(VLOOKUP(P133,內容物Mapping,2,FALSE)),"",VLOOKUP(P133,內容物Mapping,2,FALSE))</f>
        <v/>
      </c>
      <c r="X133" s="2">
        <f t="shared" ref="X133:X164" si="38">IF(P133="其他",TRIM(Q133),P133)</f>
        <v>0</v>
      </c>
      <c r="Y133" s="2" t="str">
        <f t="shared" ref="Y133:Y164" ca="1" si="39">IF(ISNA(VLOOKUP(V133,未寄達處理方式Mapping,2,FALSE)),"",VLOOKUP(V133,未寄達處理方式Mapping,2,FALSE))</f>
        <v/>
      </c>
      <c r="Z133" s="1" t="str">
        <f t="shared" ref="Z133:Z164" ca="1" si="40">IF(ISNA(VLOOKUP(D133,地址類別Mapping,2,FALSE)),"",VLOOKUP(D133,地址類別Mapping,2,FALSE))</f>
        <v/>
      </c>
      <c r="AA133" s="2" t="str">
        <f t="shared" ref="AA133:AA164" ca="1" si="41">IF(ISNA(VLOOKUP(E133&amp;"-"&amp;F133,郵遞區號,2,FALSE)),"",VLOOKUP(E133&amp;"-"&amp;F133,郵遞區號,2,FALSE))</f>
        <v/>
      </c>
      <c r="AB133" s="2" t="str">
        <f t="shared" ref="AB133:AB164" ca="1" si="42">IF(ISNA(VLOOKUP(L133&amp;"-"&amp;M133,郵遞區號,2,FALSE)),"",VLOOKUP(L133&amp;"-"&amp;M133,郵遞區號,2,FALSE))</f>
        <v/>
      </c>
      <c r="AC133" s="1" t="str">
        <f t="shared" ref="AC133:AC164" ca="1" si="43">IF(ISNA(VLOOKUP(S133,箱袋種類Mapping,2,FALSE)),"",VLOOKUP(S133,箱袋種類Mapping,2,FALSE))</f>
        <v/>
      </c>
      <c r="AD133" t="str">
        <f t="shared" ref="AD133:AD164" si="44">IF(TRIM(B133)&lt;&gt;"","202","")</f>
        <v/>
      </c>
    </row>
    <row r="134" spans="1:30" s="2" customFormat="1">
      <c r="A134" s="30" t="str">
        <f t="shared" si="36"/>
        <v/>
      </c>
      <c r="B134" s="14"/>
      <c r="C134" s="4"/>
      <c r="D134" s="4"/>
      <c r="E134" s="4"/>
      <c r="F134" s="4"/>
      <c r="G134" s="4"/>
      <c r="H134" s="15"/>
      <c r="I134" s="14"/>
      <c r="J134" s="4"/>
      <c r="K134" s="4"/>
      <c r="L134" s="4"/>
      <c r="M134" s="4"/>
      <c r="N134" s="4"/>
      <c r="O134" s="13"/>
      <c r="P134" s="20"/>
      <c r="Q134" s="4"/>
      <c r="R134" s="66"/>
      <c r="S134" s="5"/>
      <c r="T134" s="59"/>
      <c r="U134" s="62"/>
      <c r="V134" s="53"/>
      <c r="W134" s="2" t="str">
        <f t="shared" ca="1" si="37"/>
        <v/>
      </c>
      <c r="X134" s="2">
        <f t="shared" si="38"/>
        <v>0</v>
      </c>
      <c r="Y134" s="2" t="str">
        <f t="shared" ca="1" si="39"/>
        <v/>
      </c>
      <c r="Z134" s="1" t="str">
        <f t="shared" ca="1" si="40"/>
        <v/>
      </c>
      <c r="AA134" s="2" t="str">
        <f t="shared" ca="1" si="41"/>
        <v/>
      </c>
      <c r="AB134" s="2" t="str">
        <f t="shared" ca="1" si="42"/>
        <v/>
      </c>
      <c r="AC134" s="1" t="str">
        <f t="shared" ca="1" si="43"/>
        <v/>
      </c>
      <c r="AD134" t="str">
        <f t="shared" si="44"/>
        <v/>
      </c>
    </row>
    <row r="135" spans="1:30" s="2" customFormat="1">
      <c r="A135" s="30" t="str">
        <f t="shared" si="36"/>
        <v/>
      </c>
      <c r="B135" s="14"/>
      <c r="C135" s="4"/>
      <c r="D135" s="4"/>
      <c r="E135" s="4"/>
      <c r="F135" s="4"/>
      <c r="G135" s="4"/>
      <c r="H135" s="15"/>
      <c r="I135" s="14"/>
      <c r="J135" s="4"/>
      <c r="K135" s="4"/>
      <c r="L135" s="4"/>
      <c r="M135" s="4"/>
      <c r="N135" s="4"/>
      <c r="O135" s="13"/>
      <c r="P135" s="20"/>
      <c r="Q135" s="4"/>
      <c r="R135" s="66"/>
      <c r="S135" s="5"/>
      <c r="T135" s="59"/>
      <c r="U135" s="62"/>
      <c r="V135" s="53"/>
      <c r="W135" s="2" t="str">
        <f t="shared" ca="1" si="37"/>
        <v/>
      </c>
      <c r="X135" s="2">
        <f t="shared" si="38"/>
        <v>0</v>
      </c>
      <c r="Y135" s="2" t="str">
        <f t="shared" ca="1" si="39"/>
        <v/>
      </c>
      <c r="Z135" s="1" t="str">
        <f t="shared" ca="1" si="40"/>
        <v/>
      </c>
      <c r="AA135" s="2" t="str">
        <f t="shared" ca="1" si="41"/>
        <v/>
      </c>
      <c r="AB135" s="2" t="str">
        <f t="shared" ca="1" si="42"/>
        <v/>
      </c>
      <c r="AC135" s="1" t="str">
        <f t="shared" ca="1" si="43"/>
        <v/>
      </c>
      <c r="AD135" t="str">
        <f t="shared" si="44"/>
        <v/>
      </c>
    </row>
    <row r="136" spans="1:30" s="2" customFormat="1">
      <c r="A136" s="30" t="str">
        <f t="shared" si="36"/>
        <v/>
      </c>
      <c r="B136" s="14"/>
      <c r="C136" s="4"/>
      <c r="D136" s="4"/>
      <c r="E136" s="4"/>
      <c r="F136" s="4"/>
      <c r="G136" s="4"/>
      <c r="H136" s="15"/>
      <c r="I136" s="14"/>
      <c r="J136" s="4"/>
      <c r="K136" s="4"/>
      <c r="L136" s="4"/>
      <c r="M136" s="4"/>
      <c r="N136" s="4"/>
      <c r="O136" s="13"/>
      <c r="P136" s="20"/>
      <c r="Q136" s="4"/>
      <c r="R136" s="66"/>
      <c r="S136" s="5"/>
      <c r="T136" s="59"/>
      <c r="U136" s="62"/>
      <c r="V136" s="53"/>
      <c r="W136" s="2" t="str">
        <f t="shared" ca="1" si="37"/>
        <v/>
      </c>
      <c r="X136" s="2">
        <f t="shared" si="38"/>
        <v>0</v>
      </c>
      <c r="Y136" s="2" t="str">
        <f t="shared" ca="1" si="39"/>
        <v/>
      </c>
      <c r="Z136" s="1" t="str">
        <f t="shared" ca="1" si="40"/>
        <v/>
      </c>
      <c r="AA136" s="2" t="str">
        <f t="shared" ca="1" si="41"/>
        <v/>
      </c>
      <c r="AB136" s="2" t="str">
        <f t="shared" ca="1" si="42"/>
        <v/>
      </c>
      <c r="AC136" s="1" t="str">
        <f t="shared" ca="1" si="43"/>
        <v/>
      </c>
      <c r="AD136" t="str">
        <f t="shared" si="44"/>
        <v/>
      </c>
    </row>
    <row r="137" spans="1:30" s="2" customFormat="1">
      <c r="A137" s="30" t="str">
        <f t="shared" si="36"/>
        <v/>
      </c>
      <c r="B137" s="14"/>
      <c r="C137" s="4"/>
      <c r="D137" s="4"/>
      <c r="E137" s="4"/>
      <c r="F137" s="4"/>
      <c r="G137" s="4"/>
      <c r="H137" s="15"/>
      <c r="I137" s="14"/>
      <c r="J137" s="4"/>
      <c r="K137" s="4"/>
      <c r="L137" s="4"/>
      <c r="M137" s="4"/>
      <c r="N137" s="4"/>
      <c r="O137" s="13"/>
      <c r="P137" s="20"/>
      <c r="Q137" s="4"/>
      <c r="R137" s="66"/>
      <c r="S137" s="5"/>
      <c r="T137" s="59"/>
      <c r="U137" s="62"/>
      <c r="V137" s="53"/>
      <c r="W137" s="2" t="str">
        <f t="shared" ca="1" si="37"/>
        <v/>
      </c>
      <c r="X137" s="2">
        <f t="shared" si="38"/>
        <v>0</v>
      </c>
      <c r="Y137" s="2" t="str">
        <f t="shared" ca="1" si="39"/>
        <v/>
      </c>
      <c r="Z137" s="1" t="str">
        <f t="shared" ca="1" si="40"/>
        <v/>
      </c>
      <c r="AA137" s="2" t="str">
        <f t="shared" ca="1" si="41"/>
        <v/>
      </c>
      <c r="AB137" s="2" t="str">
        <f t="shared" ca="1" si="42"/>
        <v/>
      </c>
      <c r="AC137" s="1" t="str">
        <f t="shared" ca="1" si="43"/>
        <v/>
      </c>
      <c r="AD137" t="str">
        <f t="shared" si="44"/>
        <v/>
      </c>
    </row>
    <row r="138" spans="1:30" s="2" customFormat="1">
      <c r="A138" s="30" t="str">
        <f t="shared" si="36"/>
        <v/>
      </c>
      <c r="B138" s="14"/>
      <c r="C138" s="4"/>
      <c r="D138" s="4"/>
      <c r="E138" s="4"/>
      <c r="F138" s="4"/>
      <c r="G138" s="4"/>
      <c r="H138" s="15"/>
      <c r="I138" s="14"/>
      <c r="J138" s="4"/>
      <c r="K138" s="4"/>
      <c r="L138" s="4"/>
      <c r="M138" s="4"/>
      <c r="N138" s="4"/>
      <c r="O138" s="13"/>
      <c r="P138" s="20"/>
      <c r="Q138" s="4"/>
      <c r="R138" s="66"/>
      <c r="S138" s="5"/>
      <c r="T138" s="59"/>
      <c r="U138" s="62"/>
      <c r="V138" s="53"/>
      <c r="W138" s="2" t="str">
        <f t="shared" ca="1" si="37"/>
        <v/>
      </c>
      <c r="X138" s="2">
        <f t="shared" si="38"/>
        <v>0</v>
      </c>
      <c r="Y138" s="2" t="str">
        <f t="shared" ca="1" si="39"/>
        <v/>
      </c>
      <c r="Z138" s="1" t="str">
        <f t="shared" ca="1" si="40"/>
        <v/>
      </c>
      <c r="AA138" s="2" t="str">
        <f t="shared" ca="1" si="41"/>
        <v/>
      </c>
      <c r="AB138" s="2" t="str">
        <f t="shared" ca="1" si="42"/>
        <v/>
      </c>
      <c r="AC138" s="1" t="str">
        <f t="shared" ca="1" si="43"/>
        <v/>
      </c>
      <c r="AD138" t="str">
        <f t="shared" si="44"/>
        <v/>
      </c>
    </row>
    <row r="139" spans="1:30" s="2" customFormat="1">
      <c r="A139" s="30" t="str">
        <f t="shared" si="36"/>
        <v/>
      </c>
      <c r="B139" s="14"/>
      <c r="C139" s="4"/>
      <c r="D139" s="4"/>
      <c r="E139" s="4"/>
      <c r="F139" s="4"/>
      <c r="G139" s="4"/>
      <c r="H139" s="15"/>
      <c r="I139" s="14"/>
      <c r="J139" s="4"/>
      <c r="K139" s="4"/>
      <c r="L139" s="4"/>
      <c r="M139" s="4"/>
      <c r="N139" s="4"/>
      <c r="O139" s="13"/>
      <c r="P139" s="20"/>
      <c r="Q139" s="4"/>
      <c r="R139" s="66"/>
      <c r="S139" s="5"/>
      <c r="T139" s="59"/>
      <c r="U139" s="62"/>
      <c r="V139" s="53"/>
      <c r="W139" s="2" t="str">
        <f t="shared" ca="1" si="37"/>
        <v/>
      </c>
      <c r="X139" s="2">
        <f t="shared" si="38"/>
        <v>0</v>
      </c>
      <c r="Y139" s="2" t="str">
        <f t="shared" ca="1" si="39"/>
        <v/>
      </c>
      <c r="Z139" s="1" t="str">
        <f t="shared" ca="1" si="40"/>
        <v/>
      </c>
      <c r="AA139" s="2" t="str">
        <f t="shared" ca="1" si="41"/>
        <v/>
      </c>
      <c r="AB139" s="2" t="str">
        <f t="shared" ca="1" si="42"/>
        <v/>
      </c>
      <c r="AC139" s="1" t="str">
        <f t="shared" ca="1" si="43"/>
        <v/>
      </c>
      <c r="AD139" t="str">
        <f t="shared" si="44"/>
        <v/>
      </c>
    </row>
    <row r="140" spans="1:30" s="2" customFormat="1">
      <c r="A140" s="30" t="str">
        <f t="shared" si="36"/>
        <v/>
      </c>
      <c r="B140" s="14"/>
      <c r="C140" s="4"/>
      <c r="D140" s="4"/>
      <c r="E140" s="4"/>
      <c r="F140" s="4"/>
      <c r="G140" s="4"/>
      <c r="H140" s="15"/>
      <c r="I140" s="14"/>
      <c r="J140" s="4"/>
      <c r="K140" s="4"/>
      <c r="L140" s="4"/>
      <c r="M140" s="4"/>
      <c r="N140" s="4"/>
      <c r="O140" s="13"/>
      <c r="P140" s="20"/>
      <c r="Q140" s="4"/>
      <c r="R140" s="66"/>
      <c r="S140" s="5"/>
      <c r="T140" s="59"/>
      <c r="U140" s="62"/>
      <c r="V140" s="53"/>
      <c r="W140" s="2" t="str">
        <f t="shared" ca="1" si="37"/>
        <v/>
      </c>
      <c r="X140" s="2">
        <f t="shared" si="38"/>
        <v>0</v>
      </c>
      <c r="Y140" s="2" t="str">
        <f t="shared" ca="1" si="39"/>
        <v/>
      </c>
      <c r="Z140" s="1" t="str">
        <f t="shared" ca="1" si="40"/>
        <v/>
      </c>
      <c r="AA140" s="2" t="str">
        <f t="shared" ca="1" si="41"/>
        <v/>
      </c>
      <c r="AB140" s="2" t="str">
        <f t="shared" ca="1" si="42"/>
        <v/>
      </c>
      <c r="AC140" s="1" t="str">
        <f t="shared" ca="1" si="43"/>
        <v/>
      </c>
      <c r="AD140" t="str">
        <f t="shared" si="44"/>
        <v/>
      </c>
    </row>
    <row r="141" spans="1:30" s="2" customFormat="1">
      <c r="A141" s="30" t="str">
        <f t="shared" si="36"/>
        <v/>
      </c>
      <c r="B141" s="14"/>
      <c r="C141" s="4"/>
      <c r="D141" s="4"/>
      <c r="E141" s="4"/>
      <c r="F141" s="4"/>
      <c r="G141" s="4"/>
      <c r="H141" s="15"/>
      <c r="I141" s="14"/>
      <c r="J141" s="4"/>
      <c r="K141" s="4"/>
      <c r="L141" s="4"/>
      <c r="M141" s="4"/>
      <c r="N141" s="4"/>
      <c r="O141" s="13"/>
      <c r="P141" s="20"/>
      <c r="Q141" s="4"/>
      <c r="R141" s="66"/>
      <c r="S141" s="5"/>
      <c r="T141" s="59"/>
      <c r="U141" s="62"/>
      <c r="V141" s="53"/>
      <c r="W141" s="2" t="str">
        <f t="shared" ca="1" si="37"/>
        <v/>
      </c>
      <c r="X141" s="2">
        <f t="shared" si="38"/>
        <v>0</v>
      </c>
      <c r="Y141" s="2" t="str">
        <f t="shared" ca="1" si="39"/>
        <v/>
      </c>
      <c r="Z141" s="1" t="str">
        <f t="shared" ca="1" si="40"/>
        <v/>
      </c>
      <c r="AA141" s="2" t="str">
        <f t="shared" ca="1" si="41"/>
        <v/>
      </c>
      <c r="AB141" s="2" t="str">
        <f t="shared" ca="1" si="42"/>
        <v/>
      </c>
      <c r="AC141" s="1" t="str">
        <f t="shared" ca="1" si="43"/>
        <v/>
      </c>
      <c r="AD141" t="str">
        <f t="shared" si="44"/>
        <v/>
      </c>
    </row>
    <row r="142" spans="1:30" s="2" customFormat="1">
      <c r="A142" s="30" t="str">
        <f t="shared" si="36"/>
        <v/>
      </c>
      <c r="B142" s="14"/>
      <c r="C142" s="4"/>
      <c r="D142" s="4"/>
      <c r="E142" s="4"/>
      <c r="F142" s="4"/>
      <c r="G142" s="4"/>
      <c r="H142" s="15"/>
      <c r="I142" s="14"/>
      <c r="J142" s="4"/>
      <c r="K142" s="4"/>
      <c r="L142" s="4"/>
      <c r="M142" s="4"/>
      <c r="N142" s="4"/>
      <c r="O142" s="13"/>
      <c r="P142" s="20"/>
      <c r="Q142" s="4"/>
      <c r="R142" s="66"/>
      <c r="S142" s="5"/>
      <c r="T142" s="59"/>
      <c r="U142" s="62"/>
      <c r="V142" s="53"/>
      <c r="W142" s="2" t="str">
        <f t="shared" ca="1" si="37"/>
        <v/>
      </c>
      <c r="X142" s="2">
        <f t="shared" si="38"/>
        <v>0</v>
      </c>
      <c r="Y142" s="2" t="str">
        <f t="shared" ca="1" si="39"/>
        <v/>
      </c>
      <c r="Z142" s="1" t="str">
        <f t="shared" ca="1" si="40"/>
        <v/>
      </c>
      <c r="AA142" s="2" t="str">
        <f t="shared" ca="1" si="41"/>
        <v/>
      </c>
      <c r="AB142" s="2" t="str">
        <f t="shared" ca="1" si="42"/>
        <v/>
      </c>
      <c r="AC142" s="1" t="str">
        <f t="shared" ca="1" si="43"/>
        <v/>
      </c>
      <c r="AD142" t="str">
        <f t="shared" si="44"/>
        <v/>
      </c>
    </row>
    <row r="143" spans="1:30" s="2" customFormat="1">
      <c r="A143" s="30" t="str">
        <f t="shared" si="36"/>
        <v/>
      </c>
      <c r="B143" s="14"/>
      <c r="C143" s="4"/>
      <c r="D143" s="4"/>
      <c r="E143" s="4"/>
      <c r="F143" s="4"/>
      <c r="G143" s="4"/>
      <c r="H143" s="15"/>
      <c r="I143" s="14"/>
      <c r="J143" s="4"/>
      <c r="K143" s="4"/>
      <c r="L143" s="4"/>
      <c r="M143" s="4"/>
      <c r="N143" s="4"/>
      <c r="O143" s="13"/>
      <c r="P143" s="20"/>
      <c r="Q143" s="4"/>
      <c r="R143" s="66"/>
      <c r="S143" s="5"/>
      <c r="T143" s="59"/>
      <c r="U143" s="62"/>
      <c r="V143" s="53"/>
      <c r="W143" s="2" t="str">
        <f t="shared" ca="1" si="37"/>
        <v/>
      </c>
      <c r="X143" s="2">
        <f t="shared" si="38"/>
        <v>0</v>
      </c>
      <c r="Y143" s="2" t="str">
        <f t="shared" ca="1" si="39"/>
        <v/>
      </c>
      <c r="Z143" s="1" t="str">
        <f t="shared" ca="1" si="40"/>
        <v/>
      </c>
      <c r="AA143" s="2" t="str">
        <f t="shared" ca="1" si="41"/>
        <v/>
      </c>
      <c r="AB143" s="2" t="str">
        <f t="shared" ca="1" si="42"/>
        <v/>
      </c>
      <c r="AC143" s="1" t="str">
        <f t="shared" ca="1" si="43"/>
        <v/>
      </c>
      <c r="AD143" t="str">
        <f t="shared" si="44"/>
        <v/>
      </c>
    </row>
    <row r="144" spans="1:30" s="2" customFormat="1">
      <c r="A144" s="30" t="str">
        <f t="shared" si="36"/>
        <v/>
      </c>
      <c r="B144" s="14"/>
      <c r="C144" s="4"/>
      <c r="D144" s="4"/>
      <c r="E144" s="4"/>
      <c r="F144" s="4"/>
      <c r="G144" s="4"/>
      <c r="H144" s="15"/>
      <c r="I144" s="14"/>
      <c r="J144" s="4"/>
      <c r="K144" s="4"/>
      <c r="L144" s="4"/>
      <c r="M144" s="4"/>
      <c r="N144" s="4"/>
      <c r="O144" s="13"/>
      <c r="P144" s="20"/>
      <c r="Q144" s="4"/>
      <c r="R144" s="66"/>
      <c r="S144" s="5"/>
      <c r="T144" s="59"/>
      <c r="U144" s="62"/>
      <c r="V144" s="53"/>
      <c r="W144" s="2" t="str">
        <f t="shared" ca="1" si="37"/>
        <v/>
      </c>
      <c r="X144" s="2">
        <f t="shared" si="38"/>
        <v>0</v>
      </c>
      <c r="Y144" s="2" t="str">
        <f t="shared" ca="1" si="39"/>
        <v/>
      </c>
      <c r="Z144" s="1" t="str">
        <f t="shared" ca="1" si="40"/>
        <v/>
      </c>
      <c r="AA144" s="2" t="str">
        <f t="shared" ca="1" si="41"/>
        <v/>
      </c>
      <c r="AB144" s="2" t="str">
        <f t="shared" ca="1" si="42"/>
        <v/>
      </c>
      <c r="AC144" s="1" t="str">
        <f t="shared" ca="1" si="43"/>
        <v/>
      </c>
      <c r="AD144" t="str">
        <f t="shared" si="44"/>
        <v/>
      </c>
    </row>
    <row r="145" spans="1:30" s="2" customFormat="1">
      <c r="A145" s="30" t="str">
        <f t="shared" si="36"/>
        <v/>
      </c>
      <c r="B145" s="14"/>
      <c r="C145" s="4"/>
      <c r="D145" s="4"/>
      <c r="E145" s="4"/>
      <c r="F145" s="4"/>
      <c r="G145" s="4"/>
      <c r="H145" s="15"/>
      <c r="I145" s="14"/>
      <c r="J145" s="4"/>
      <c r="K145" s="4"/>
      <c r="L145" s="4"/>
      <c r="M145" s="4"/>
      <c r="N145" s="4"/>
      <c r="O145" s="13"/>
      <c r="P145" s="20"/>
      <c r="Q145" s="4"/>
      <c r="R145" s="66"/>
      <c r="S145" s="5"/>
      <c r="T145" s="59"/>
      <c r="U145" s="62"/>
      <c r="V145" s="53"/>
      <c r="W145" s="2" t="str">
        <f t="shared" ca="1" si="37"/>
        <v/>
      </c>
      <c r="X145" s="2">
        <f t="shared" si="38"/>
        <v>0</v>
      </c>
      <c r="Y145" s="2" t="str">
        <f t="shared" ca="1" si="39"/>
        <v/>
      </c>
      <c r="Z145" s="1" t="str">
        <f t="shared" ca="1" si="40"/>
        <v/>
      </c>
      <c r="AA145" s="2" t="str">
        <f t="shared" ca="1" si="41"/>
        <v/>
      </c>
      <c r="AB145" s="2" t="str">
        <f t="shared" ca="1" si="42"/>
        <v/>
      </c>
      <c r="AC145" s="1" t="str">
        <f t="shared" ca="1" si="43"/>
        <v/>
      </c>
      <c r="AD145" t="str">
        <f t="shared" si="44"/>
        <v/>
      </c>
    </row>
    <row r="146" spans="1:30" s="2" customFormat="1">
      <c r="A146" s="30" t="str">
        <f t="shared" si="36"/>
        <v/>
      </c>
      <c r="B146" s="14"/>
      <c r="C146" s="4"/>
      <c r="D146" s="4"/>
      <c r="E146" s="4"/>
      <c r="F146" s="4"/>
      <c r="G146" s="4"/>
      <c r="H146" s="15"/>
      <c r="I146" s="14"/>
      <c r="J146" s="4"/>
      <c r="K146" s="4"/>
      <c r="L146" s="4"/>
      <c r="M146" s="4"/>
      <c r="N146" s="4"/>
      <c r="O146" s="13"/>
      <c r="P146" s="20"/>
      <c r="Q146" s="4"/>
      <c r="R146" s="66"/>
      <c r="S146" s="5"/>
      <c r="T146" s="59"/>
      <c r="U146" s="62"/>
      <c r="V146" s="53"/>
      <c r="W146" s="2" t="str">
        <f t="shared" ca="1" si="37"/>
        <v/>
      </c>
      <c r="X146" s="2">
        <f t="shared" si="38"/>
        <v>0</v>
      </c>
      <c r="Y146" s="2" t="str">
        <f t="shared" ca="1" si="39"/>
        <v/>
      </c>
      <c r="Z146" s="1" t="str">
        <f t="shared" ca="1" si="40"/>
        <v/>
      </c>
      <c r="AA146" s="2" t="str">
        <f t="shared" ca="1" si="41"/>
        <v/>
      </c>
      <c r="AB146" s="2" t="str">
        <f t="shared" ca="1" si="42"/>
        <v/>
      </c>
      <c r="AC146" s="1" t="str">
        <f t="shared" ca="1" si="43"/>
        <v/>
      </c>
      <c r="AD146" t="str">
        <f t="shared" si="44"/>
        <v/>
      </c>
    </row>
    <row r="147" spans="1:30" s="2" customFormat="1">
      <c r="A147" s="30" t="str">
        <f t="shared" si="36"/>
        <v/>
      </c>
      <c r="B147" s="14"/>
      <c r="C147" s="4"/>
      <c r="D147" s="4"/>
      <c r="E147" s="4"/>
      <c r="F147" s="4"/>
      <c r="G147" s="4"/>
      <c r="H147" s="15"/>
      <c r="I147" s="14"/>
      <c r="J147" s="4"/>
      <c r="K147" s="4"/>
      <c r="L147" s="4"/>
      <c r="M147" s="4"/>
      <c r="N147" s="4"/>
      <c r="O147" s="13"/>
      <c r="P147" s="20"/>
      <c r="Q147" s="4"/>
      <c r="R147" s="66"/>
      <c r="S147" s="5"/>
      <c r="T147" s="59"/>
      <c r="U147" s="62"/>
      <c r="V147" s="53"/>
      <c r="W147" s="2" t="str">
        <f t="shared" ca="1" si="37"/>
        <v/>
      </c>
      <c r="X147" s="2">
        <f t="shared" si="38"/>
        <v>0</v>
      </c>
      <c r="Y147" s="2" t="str">
        <f t="shared" ca="1" si="39"/>
        <v/>
      </c>
      <c r="Z147" s="1" t="str">
        <f t="shared" ca="1" si="40"/>
        <v/>
      </c>
      <c r="AA147" s="2" t="str">
        <f t="shared" ca="1" si="41"/>
        <v/>
      </c>
      <c r="AB147" s="2" t="str">
        <f t="shared" ca="1" si="42"/>
        <v/>
      </c>
      <c r="AC147" s="1" t="str">
        <f t="shared" ca="1" si="43"/>
        <v/>
      </c>
      <c r="AD147" t="str">
        <f t="shared" si="44"/>
        <v/>
      </c>
    </row>
    <row r="148" spans="1:30" s="2" customFormat="1">
      <c r="A148" s="30" t="str">
        <f t="shared" si="36"/>
        <v/>
      </c>
      <c r="B148" s="14"/>
      <c r="C148" s="4"/>
      <c r="D148" s="4"/>
      <c r="E148" s="4"/>
      <c r="F148" s="4"/>
      <c r="G148" s="4"/>
      <c r="H148" s="15"/>
      <c r="I148" s="14"/>
      <c r="J148" s="4"/>
      <c r="K148" s="4"/>
      <c r="L148" s="4"/>
      <c r="M148" s="4"/>
      <c r="N148" s="4"/>
      <c r="O148" s="13"/>
      <c r="P148" s="20"/>
      <c r="Q148" s="4"/>
      <c r="R148" s="66"/>
      <c r="S148" s="5"/>
      <c r="T148" s="59"/>
      <c r="U148" s="62"/>
      <c r="V148" s="53"/>
      <c r="W148" s="2" t="str">
        <f t="shared" ca="1" si="37"/>
        <v/>
      </c>
      <c r="X148" s="2">
        <f t="shared" si="38"/>
        <v>0</v>
      </c>
      <c r="Y148" s="2" t="str">
        <f t="shared" ca="1" si="39"/>
        <v/>
      </c>
      <c r="Z148" s="1" t="str">
        <f t="shared" ca="1" si="40"/>
        <v/>
      </c>
      <c r="AA148" s="2" t="str">
        <f t="shared" ca="1" si="41"/>
        <v/>
      </c>
      <c r="AB148" s="2" t="str">
        <f t="shared" ca="1" si="42"/>
        <v/>
      </c>
      <c r="AC148" s="1" t="str">
        <f t="shared" ca="1" si="43"/>
        <v/>
      </c>
      <c r="AD148" t="str">
        <f t="shared" si="44"/>
        <v/>
      </c>
    </row>
    <row r="149" spans="1:30" s="2" customFormat="1">
      <c r="A149" s="30" t="str">
        <f t="shared" si="36"/>
        <v/>
      </c>
      <c r="B149" s="14"/>
      <c r="C149" s="4"/>
      <c r="D149" s="4"/>
      <c r="E149" s="4"/>
      <c r="F149" s="4"/>
      <c r="G149" s="4"/>
      <c r="H149" s="15"/>
      <c r="I149" s="14"/>
      <c r="J149" s="4"/>
      <c r="K149" s="4"/>
      <c r="L149" s="4"/>
      <c r="M149" s="4"/>
      <c r="N149" s="4"/>
      <c r="O149" s="13"/>
      <c r="P149" s="20"/>
      <c r="Q149" s="4"/>
      <c r="R149" s="66"/>
      <c r="S149" s="5"/>
      <c r="T149" s="59"/>
      <c r="U149" s="62"/>
      <c r="V149" s="53"/>
      <c r="W149" s="2" t="str">
        <f t="shared" ca="1" si="37"/>
        <v/>
      </c>
      <c r="X149" s="2">
        <f t="shared" si="38"/>
        <v>0</v>
      </c>
      <c r="Y149" s="2" t="str">
        <f t="shared" ca="1" si="39"/>
        <v/>
      </c>
      <c r="Z149" s="1" t="str">
        <f t="shared" ca="1" si="40"/>
        <v/>
      </c>
      <c r="AA149" s="2" t="str">
        <f t="shared" ca="1" si="41"/>
        <v/>
      </c>
      <c r="AB149" s="2" t="str">
        <f t="shared" ca="1" si="42"/>
        <v/>
      </c>
      <c r="AC149" s="1" t="str">
        <f t="shared" ca="1" si="43"/>
        <v/>
      </c>
      <c r="AD149" t="str">
        <f t="shared" si="44"/>
        <v/>
      </c>
    </row>
    <row r="150" spans="1:30" s="2" customFormat="1">
      <c r="A150" s="30" t="str">
        <f t="shared" si="36"/>
        <v/>
      </c>
      <c r="B150" s="14"/>
      <c r="C150" s="4"/>
      <c r="D150" s="4"/>
      <c r="E150" s="4"/>
      <c r="F150" s="4"/>
      <c r="G150" s="4"/>
      <c r="H150" s="15"/>
      <c r="I150" s="14"/>
      <c r="J150" s="4"/>
      <c r="K150" s="4"/>
      <c r="L150" s="4"/>
      <c r="M150" s="4"/>
      <c r="N150" s="4"/>
      <c r="O150" s="13"/>
      <c r="P150" s="20"/>
      <c r="Q150" s="4"/>
      <c r="R150" s="66"/>
      <c r="S150" s="5"/>
      <c r="T150" s="59"/>
      <c r="U150" s="62"/>
      <c r="V150" s="53"/>
      <c r="W150" s="2" t="str">
        <f t="shared" ca="1" si="37"/>
        <v/>
      </c>
      <c r="X150" s="2">
        <f t="shared" si="38"/>
        <v>0</v>
      </c>
      <c r="Y150" s="2" t="str">
        <f t="shared" ca="1" si="39"/>
        <v/>
      </c>
      <c r="Z150" s="1" t="str">
        <f t="shared" ca="1" si="40"/>
        <v/>
      </c>
      <c r="AA150" s="2" t="str">
        <f t="shared" ca="1" si="41"/>
        <v/>
      </c>
      <c r="AB150" s="2" t="str">
        <f t="shared" ca="1" si="42"/>
        <v/>
      </c>
      <c r="AC150" s="1" t="str">
        <f t="shared" ca="1" si="43"/>
        <v/>
      </c>
      <c r="AD150" t="str">
        <f t="shared" si="44"/>
        <v/>
      </c>
    </row>
    <row r="151" spans="1:30" s="2" customFormat="1">
      <c r="A151" s="30" t="str">
        <f t="shared" si="36"/>
        <v/>
      </c>
      <c r="B151" s="14"/>
      <c r="C151" s="4"/>
      <c r="D151" s="4"/>
      <c r="E151" s="4"/>
      <c r="F151" s="4"/>
      <c r="G151" s="4"/>
      <c r="H151" s="15"/>
      <c r="I151" s="14"/>
      <c r="J151" s="4"/>
      <c r="K151" s="4"/>
      <c r="L151" s="4"/>
      <c r="M151" s="4"/>
      <c r="N151" s="4"/>
      <c r="O151" s="13"/>
      <c r="P151" s="20"/>
      <c r="Q151" s="4"/>
      <c r="R151" s="66"/>
      <c r="S151" s="5"/>
      <c r="T151" s="59"/>
      <c r="U151" s="62"/>
      <c r="V151" s="53"/>
      <c r="W151" s="2" t="str">
        <f t="shared" ca="1" si="37"/>
        <v/>
      </c>
      <c r="X151" s="2">
        <f t="shared" si="38"/>
        <v>0</v>
      </c>
      <c r="Y151" s="2" t="str">
        <f t="shared" ca="1" si="39"/>
        <v/>
      </c>
      <c r="Z151" s="1" t="str">
        <f t="shared" ca="1" si="40"/>
        <v/>
      </c>
      <c r="AA151" s="2" t="str">
        <f t="shared" ca="1" si="41"/>
        <v/>
      </c>
      <c r="AB151" s="2" t="str">
        <f t="shared" ca="1" si="42"/>
        <v/>
      </c>
      <c r="AC151" s="1" t="str">
        <f t="shared" ca="1" si="43"/>
        <v/>
      </c>
      <c r="AD151" t="str">
        <f t="shared" si="44"/>
        <v/>
      </c>
    </row>
    <row r="152" spans="1:30" s="2" customFormat="1">
      <c r="A152" s="30" t="str">
        <f t="shared" si="36"/>
        <v/>
      </c>
      <c r="B152" s="14"/>
      <c r="C152" s="4"/>
      <c r="D152" s="4"/>
      <c r="E152" s="4"/>
      <c r="F152" s="4"/>
      <c r="G152" s="4"/>
      <c r="H152" s="15"/>
      <c r="I152" s="14"/>
      <c r="J152" s="4"/>
      <c r="K152" s="4"/>
      <c r="L152" s="4"/>
      <c r="M152" s="4"/>
      <c r="N152" s="4"/>
      <c r="O152" s="13"/>
      <c r="P152" s="20"/>
      <c r="Q152" s="4"/>
      <c r="R152" s="66"/>
      <c r="S152" s="5"/>
      <c r="T152" s="59"/>
      <c r="U152" s="62"/>
      <c r="V152" s="53"/>
      <c r="W152" s="2" t="str">
        <f t="shared" ca="1" si="37"/>
        <v/>
      </c>
      <c r="X152" s="2">
        <f t="shared" si="38"/>
        <v>0</v>
      </c>
      <c r="Y152" s="2" t="str">
        <f t="shared" ca="1" si="39"/>
        <v/>
      </c>
      <c r="Z152" s="1" t="str">
        <f t="shared" ca="1" si="40"/>
        <v/>
      </c>
      <c r="AA152" s="2" t="str">
        <f t="shared" ca="1" si="41"/>
        <v/>
      </c>
      <c r="AB152" s="2" t="str">
        <f t="shared" ca="1" si="42"/>
        <v/>
      </c>
      <c r="AC152" s="1" t="str">
        <f t="shared" ca="1" si="43"/>
        <v/>
      </c>
      <c r="AD152" t="str">
        <f t="shared" si="44"/>
        <v/>
      </c>
    </row>
    <row r="153" spans="1:30" s="2" customFormat="1">
      <c r="A153" s="30" t="str">
        <f t="shared" si="36"/>
        <v/>
      </c>
      <c r="B153" s="14"/>
      <c r="C153" s="4"/>
      <c r="D153" s="4"/>
      <c r="E153" s="4"/>
      <c r="F153" s="4"/>
      <c r="G153" s="4"/>
      <c r="H153" s="15"/>
      <c r="I153" s="14"/>
      <c r="J153" s="4"/>
      <c r="K153" s="4"/>
      <c r="L153" s="4"/>
      <c r="M153" s="4"/>
      <c r="N153" s="4"/>
      <c r="O153" s="13"/>
      <c r="P153" s="20"/>
      <c r="Q153" s="4"/>
      <c r="R153" s="66"/>
      <c r="S153" s="5"/>
      <c r="T153" s="59"/>
      <c r="U153" s="62"/>
      <c r="V153" s="53"/>
      <c r="W153" s="2" t="str">
        <f t="shared" ca="1" si="37"/>
        <v/>
      </c>
      <c r="X153" s="2">
        <f t="shared" si="38"/>
        <v>0</v>
      </c>
      <c r="Y153" s="2" t="str">
        <f t="shared" ca="1" si="39"/>
        <v/>
      </c>
      <c r="Z153" s="1" t="str">
        <f t="shared" ca="1" si="40"/>
        <v/>
      </c>
      <c r="AA153" s="2" t="str">
        <f t="shared" ca="1" si="41"/>
        <v/>
      </c>
      <c r="AB153" s="2" t="str">
        <f t="shared" ca="1" si="42"/>
        <v/>
      </c>
      <c r="AC153" s="1" t="str">
        <f t="shared" ca="1" si="43"/>
        <v/>
      </c>
      <c r="AD153" t="str">
        <f t="shared" si="44"/>
        <v/>
      </c>
    </row>
    <row r="154" spans="1:30" s="2" customFormat="1">
      <c r="A154" s="30" t="str">
        <f t="shared" si="36"/>
        <v/>
      </c>
      <c r="B154" s="14"/>
      <c r="C154" s="4"/>
      <c r="D154" s="4"/>
      <c r="E154" s="4"/>
      <c r="F154" s="4"/>
      <c r="G154" s="4"/>
      <c r="H154" s="15"/>
      <c r="I154" s="14"/>
      <c r="J154" s="4"/>
      <c r="K154" s="4"/>
      <c r="L154" s="4"/>
      <c r="M154" s="4"/>
      <c r="N154" s="4"/>
      <c r="O154" s="13"/>
      <c r="P154" s="20"/>
      <c r="Q154" s="4"/>
      <c r="R154" s="66"/>
      <c r="S154" s="5"/>
      <c r="T154" s="59"/>
      <c r="U154" s="62"/>
      <c r="V154" s="53"/>
      <c r="W154" s="2" t="str">
        <f t="shared" ca="1" si="37"/>
        <v/>
      </c>
      <c r="X154" s="2">
        <f t="shared" si="38"/>
        <v>0</v>
      </c>
      <c r="Y154" s="2" t="str">
        <f t="shared" ca="1" si="39"/>
        <v/>
      </c>
      <c r="Z154" s="1" t="str">
        <f t="shared" ca="1" si="40"/>
        <v/>
      </c>
      <c r="AA154" s="2" t="str">
        <f t="shared" ca="1" si="41"/>
        <v/>
      </c>
      <c r="AB154" s="2" t="str">
        <f t="shared" ca="1" si="42"/>
        <v/>
      </c>
      <c r="AC154" s="1" t="str">
        <f t="shared" ca="1" si="43"/>
        <v/>
      </c>
      <c r="AD154" t="str">
        <f t="shared" si="44"/>
        <v/>
      </c>
    </row>
    <row r="155" spans="1:30" s="2" customFormat="1">
      <c r="A155" s="30" t="str">
        <f t="shared" si="36"/>
        <v/>
      </c>
      <c r="B155" s="14"/>
      <c r="C155" s="4"/>
      <c r="D155" s="4"/>
      <c r="E155" s="4"/>
      <c r="F155" s="4"/>
      <c r="G155" s="4"/>
      <c r="H155" s="15"/>
      <c r="I155" s="14"/>
      <c r="J155" s="4"/>
      <c r="K155" s="4"/>
      <c r="L155" s="4"/>
      <c r="M155" s="4"/>
      <c r="N155" s="4"/>
      <c r="O155" s="13"/>
      <c r="P155" s="20"/>
      <c r="Q155" s="4"/>
      <c r="R155" s="66"/>
      <c r="S155" s="5"/>
      <c r="T155" s="59"/>
      <c r="U155" s="62"/>
      <c r="V155" s="53"/>
      <c r="W155" s="2" t="str">
        <f t="shared" ca="1" si="37"/>
        <v/>
      </c>
      <c r="X155" s="2">
        <f t="shared" si="38"/>
        <v>0</v>
      </c>
      <c r="Y155" s="2" t="str">
        <f t="shared" ca="1" si="39"/>
        <v/>
      </c>
      <c r="Z155" s="1" t="str">
        <f t="shared" ca="1" si="40"/>
        <v/>
      </c>
      <c r="AA155" s="2" t="str">
        <f t="shared" ca="1" si="41"/>
        <v/>
      </c>
      <c r="AB155" s="2" t="str">
        <f t="shared" ca="1" si="42"/>
        <v/>
      </c>
      <c r="AC155" s="1" t="str">
        <f t="shared" ca="1" si="43"/>
        <v/>
      </c>
      <c r="AD155" t="str">
        <f t="shared" si="44"/>
        <v/>
      </c>
    </row>
    <row r="156" spans="1:30" s="2" customFormat="1">
      <c r="A156" s="30" t="str">
        <f t="shared" si="36"/>
        <v/>
      </c>
      <c r="B156" s="14"/>
      <c r="C156" s="4"/>
      <c r="D156" s="4"/>
      <c r="E156" s="4"/>
      <c r="F156" s="4"/>
      <c r="G156" s="4"/>
      <c r="H156" s="15"/>
      <c r="I156" s="14"/>
      <c r="J156" s="4"/>
      <c r="K156" s="4"/>
      <c r="L156" s="4"/>
      <c r="M156" s="4"/>
      <c r="N156" s="4"/>
      <c r="O156" s="13"/>
      <c r="P156" s="20"/>
      <c r="Q156" s="4"/>
      <c r="R156" s="66"/>
      <c r="S156" s="5"/>
      <c r="T156" s="59"/>
      <c r="U156" s="62"/>
      <c r="V156" s="53"/>
      <c r="W156" s="2" t="str">
        <f t="shared" ca="1" si="37"/>
        <v/>
      </c>
      <c r="X156" s="2">
        <f t="shared" si="38"/>
        <v>0</v>
      </c>
      <c r="Y156" s="2" t="str">
        <f t="shared" ca="1" si="39"/>
        <v/>
      </c>
      <c r="Z156" s="1" t="str">
        <f t="shared" ca="1" si="40"/>
        <v/>
      </c>
      <c r="AA156" s="2" t="str">
        <f t="shared" ca="1" si="41"/>
        <v/>
      </c>
      <c r="AB156" s="2" t="str">
        <f t="shared" ca="1" si="42"/>
        <v/>
      </c>
      <c r="AC156" s="1" t="str">
        <f t="shared" ca="1" si="43"/>
        <v/>
      </c>
      <c r="AD156" t="str">
        <f t="shared" si="44"/>
        <v/>
      </c>
    </row>
    <row r="157" spans="1:30" s="2" customFormat="1">
      <c r="A157" s="30" t="str">
        <f t="shared" si="36"/>
        <v/>
      </c>
      <c r="B157" s="14"/>
      <c r="C157" s="4"/>
      <c r="D157" s="4"/>
      <c r="E157" s="4"/>
      <c r="F157" s="4"/>
      <c r="G157" s="4"/>
      <c r="H157" s="15"/>
      <c r="I157" s="14"/>
      <c r="J157" s="4"/>
      <c r="K157" s="4"/>
      <c r="L157" s="4"/>
      <c r="M157" s="4"/>
      <c r="N157" s="4"/>
      <c r="O157" s="13"/>
      <c r="P157" s="20"/>
      <c r="Q157" s="4"/>
      <c r="R157" s="66"/>
      <c r="S157" s="5"/>
      <c r="T157" s="59"/>
      <c r="U157" s="62"/>
      <c r="V157" s="53"/>
      <c r="W157" s="2" t="str">
        <f t="shared" ca="1" si="37"/>
        <v/>
      </c>
      <c r="X157" s="2">
        <f t="shared" si="38"/>
        <v>0</v>
      </c>
      <c r="Y157" s="2" t="str">
        <f t="shared" ca="1" si="39"/>
        <v/>
      </c>
      <c r="Z157" s="1" t="str">
        <f t="shared" ca="1" si="40"/>
        <v/>
      </c>
      <c r="AA157" s="2" t="str">
        <f t="shared" ca="1" si="41"/>
        <v/>
      </c>
      <c r="AB157" s="2" t="str">
        <f t="shared" ca="1" si="42"/>
        <v/>
      </c>
      <c r="AC157" s="1" t="str">
        <f t="shared" ca="1" si="43"/>
        <v/>
      </c>
      <c r="AD157" t="str">
        <f t="shared" si="44"/>
        <v/>
      </c>
    </row>
    <row r="158" spans="1:30" s="2" customFormat="1">
      <c r="A158" s="30" t="str">
        <f t="shared" si="36"/>
        <v/>
      </c>
      <c r="B158" s="14"/>
      <c r="C158" s="4"/>
      <c r="D158" s="4"/>
      <c r="E158" s="4"/>
      <c r="F158" s="4"/>
      <c r="G158" s="4"/>
      <c r="H158" s="15"/>
      <c r="I158" s="14"/>
      <c r="J158" s="4"/>
      <c r="K158" s="4"/>
      <c r="L158" s="4"/>
      <c r="M158" s="4"/>
      <c r="N158" s="4"/>
      <c r="O158" s="13"/>
      <c r="P158" s="20"/>
      <c r="Q158" s="4"/>
      <c r="R158" s="66"/>
      <c r="S158" s="5"/>
      <c r="T158" s="59"/>
      <c r="U158" s="62"/>
      <c r="V158" s="53"/>
      <c r="W158" s="2" t="str">
        <f t="shared" ca="1" si="37"/>
        <v/>
      </c>
      <c r="X158" s="2">
        <f t="shared" si="38"/>
        <v>0</v>
      </c>
      <c r="Y158" s="2" t="str">
        <f t="shared" ca="1" si="39"/>
        <v/>
      </c>
      <c r="Z158" s="1" t="str">
        <f t="shared" ca="1" si="40"/>
        <v/>
      </c>
      <c r="AA158" s="2" t="str">
        <f t="shared" ca="1" si="41"/>
        <v/>
      </c>
      <c r="AB158" s="2" t="str">
        <f t="shared" ca="1" si="42"/>
        <v/>
      </c>
      <c r="AC158" s="1" t="str">
        <f t="shared" ca="1" si="43"/>
        <v/>
      </c>
      <c r="AD158" t="str">
        <f t="shared" si="44"/>
        <v/>
      </c>
    </row>
    <row r="159" spans="1:30" s="2" customFormat="1">
      <c r="A159" s="30" t="str">
        <f t="shared" si="36"/>
        <v/>
      </c>
      <c r="B159" s="14"/>
      <c r="C159" s="4"/>
      <c r="D159" s="4"/>
      <c r="E159" s="4"/>
      <c r="F159" s="4"/>
      <c r="G159" s="4"/>
      <c r="H159" s="15"/>
      <c r="I159" s="14"/>
      <c r="J159" s="4"/>
      <c r="K159" s="4"/>
      <c r="L159" s="4"/>
      <c r="M159" s="4"/>
      <c r="N159" s="4"/>
      <c r="O159" s="13"/>
      <c r="P159" s="20"/>
      <c r="Q159" s="4"/>
      <c r="R159" s="66"/>
      <c r="S159" s="5"/>
      <c r="T159" s="59"/>
      <c r="U159" s="62"/>
      <c r="V159" s="53"/>
      <c r="W159" s="2" t="str">
        <f t="shared" ca="1" si="37"/>
        <v/>
      </c>
      <c r="X159" s="2">
        <f t="shared" si="38"/>
        <v>0</v>
      </c>
      <c r="Y159" s="2" t="str">
        <f t="shared" ca="1" si="39"/>
        <v/>
      </c>
      <c r="Z159" s="1" t="str">
        <f t="shared" ca="1" si="40"/>
        <v/>
      </c>
      <c r="AA159" s="2" t="str">
        <f t="shared" ca="1" si="41"/>
        <v/>
      </c>
      <c r="AB159" s="2" t="str">
        <f t="shared" ca="1" si="42"/>
        <v/>
      </c>
      <c r="AC159" s="1" t="str">
        <f t="shared" ca="1" si="43"/>
        <v/>
      </c>
      <c r="AD159" t="str">
        <f t="shared" si="44"/>
        <v/>
      </c>
    </row>
    <row r="160" spans="1:30" s="2" customFormat="1">
      <c r="A160" s="30" t="str">
        <f t="shared" si="36"/>
        <v/>
      </c>
      <c r="B160" s="14"/>
      <c r="C160" s="4"/>
      <c r="D160" s="4"/>
      <c r="E160" s="4"/>
      <c r="F160" s="4"/>
      <c r="G160" s="4"/>
      <c r="H160" s="15"/>
      <c r="I160" s="14"/>
      <c r="J160" s="4"/>
      <c r="K160" s="4"/>
      <c r="L160" s="4"/>
      <c r="M160" s="4"/>
      <c r="N160" s="4"/>
      <c r="O160" s="13"/>
      <c r="P160" s="20"/>
      <c r="Q160" s="4"/>
      <c r="R160" s="66"/>
      <c r="S160" s="5"/>
      <c r="T160" s="59"/>
      <c r="U160" s="62"/>
      <c r="V160" s="53"/>
      <c r="W160" s="2" t="str">
        <f t="shared" ca="1" si="37"/>
        <v/>
      </c>
      <c r="X160" s="2">
        <f t="shared" si="38"/>
        <v>0</v>
      </c>
      <c r="Y160" s="2" t="str">
        <f t="shared" ca="1" si="39"/>
        <v/>
      </c>
      <c r="Z160" s="1" t="str">
        <f t="shared" ca="1" si="40"/>
        <v/>
      </c>
      <c r="AA160" s="2" t="str">
        <f t="shared" ca="1" si="41"/>
        <v/>
      </c>
      <c r="AB160" s="2" t="str">
        <f t="shared" ca="1" si="42"/>
        <v/>
      </c>
      <c r="AC160" s="1" t="str">
        <f t="shared" ca="1" si="43"/>
        <v/>
      </c>
      <c r="AD160" t="str">
        <f t="shared" si="44"/>
        <v/>
      </c>
    </row>
    <row r="161" spans="1:30" s="2" customFormat="1">
      <c r="A161" s="30" t="str">
        <f t="shared" si="36"/>
        <v/>
      </c>
      <c r="B161" s="14"/>
      <c r="C161" s="4"/>
      <c r="D161" s="4"/>
      <c r="E161" s="4"/>
      <c r="F161" s="4"/>
      <c r="G161" s="4"/>
      <c r="H161" s="15"/>
      <c r="I161" s="14"/>
      <c r="J161" s="4"/>
      <c r="K161" s="4"/>
      <c r="L161" s="4"/>
      <c r="M161" s="4"/>
      <c r="N161" s="4"/>
      <c r="O161" s="13"/>
      <c r="P161" s="20"/>
      <c r="Q161" s="4"/>
      <c r="R161" s="66"/>
      <c r="S161" s="5"/>
      <c r="T161" s="59"/>
      <c r="U161" s="62"/>
      <c r="V161" s="53"/>
      <c r="W161" s="2" t="str">
        <f t="shared" ca="1" si="37"/>
        <v/>
      </c>
      <c r="X161" s="2">
        <f t="shared" si="38"/>
        <v>0</v>
      </c>
      <c r="Y161" s="2" t="str">
        <f t="shared" ca="1" si="39"/>
        <v/>
      </c>
      <c r="Z161" s="1" t="str">
        <f t="shared" ca="1" si="40"/>
        <v/>
      </c>
      <c r="AA161" s="2" t="str">
        <f t="shared" ca="1" si="41"/>
        <v/>
      </c>
      <c r="AB161" s="2" t="str">
        <f t="shared" ca="1" si="42"/>
        <v/>
      </c>
      <c r="AC161" s="1" t="str">
        <f t="shared" ca="1" si="43"/>
        <v/>
      </c>
      <c r="AD161" t="str">
        <f t="shared" si="44"/>
        <v/>
      </c>
    </row>
    <row r="162" spans="1:30" s="2" customFormat="1">
      <c r="A162" s="30" t="str">
        <f t="shared" si="36"/>
        <v/>
      </c>
      <c r="B162" s="14"/>
      <c r="C162" s="4"/>
      <c r="D162" s="4"/>
      <c r="E162" s="4"/>
      <c r="F162" s="4"/>
      <c r="G162" s="4"/>
      <c r="H162" s="15"/>
      <c r="I162" s="14"/>
      <c r="J162" s="4"/>
      <c r="K162" s="4"/>
      <c r="L162" s="4"/>
      <c r="M162" s="4"/>
      <c r="N162" s="4"/>
      <c r="O162" s="13"/>
      <c r="P162" s="20"/>
      <c r="Q162" s="4"/>
      <c r="R162" s="66"/>
      <c r="S162" s="5"/>
      <c r="T162" s="59"/>
      <c r="U162" s="62"/>
      <c r="V162" s="53"/>
      <c r="W162" s="2" t="str">
        <f t="shared" ca="1" si="37"/>
        <v/>
      </c>
      <c r="X162" s="2">
        <f t="shared" si="38"/>
        <v>0</v>
      </c>
      <c r="Y162" s="2" t="str">
        <f t="shared" ca="1" si="39"/>
        <v/>
      </c>
      <c r="Z162" s="1" t="str">
        <f t="shared" ca="1" si="40"/>
        <v/>
      </c>
      <c r="AA162" s="2" t="str">
        <f t="shared" ca="1" si="41"/>
        <v/>
      </c>
      <c r="AB162" s="2" t="str">
        <f t="shared" ca="1" si="42"/>
        <v/>
      </c>
      <c r="AC162" s="1" t="str">
        <f t="shared" ca="1" si="43"/>
        <v/>
      </c>
      <c r="AD162" t="str">
        <f t="shared" si="44"/>
        <v/>
      </c>
    </row>
    <row r="163" spans="1:30" s="2" customFormat="1">
      <c r="A163" s="30" t="str">
        <f t="shared" si="36"/>
        <v/>
      </c>
      <c r="B163" s="14"/>
      <c r="C163" s="4"/>
      <c r="D163" s="4"/>
      <c r="E163" s="4"/>
      <c r="F163" s="4"/>
      <c r="G163" s="4"/>
      <c r="H163" s="15"/>
      <c r="I163" s="14"/>
      <c r="J163" s="4"/>
      <c r="K163" s="4"/>
      <c r="L163" s="4"/>
      <c r="M163" s="4"/>
      <c r="N163" s="4"/>
      <c r="O163" s="13"/>
      <c r="P163" s="20"/>
      <c r="Q163" s="4"/>
      <c r="R163" s="66"/>
      <c r="S163" s="5"/>
      <c r="T163" s="59"/>
      <c r="U163" s="62"/>
      <c r="V163" s="53"/>
      <c r="W163" s="2" t="str">
        <f t="shared" ca="1" si="37"/>
        <v/>
      </c>
      <c r="X163" s="2">
        <f t="shared" si="38"/>
        <v>0</v>
      </c>
      <c r="Y163" s="2" t="str">
        <f t="shared" ca="1" si="39"/>
        <v/>
      </c>
      <c r="Z163" s="1" t="str">
        <f t="shared" ca="1" si="40"/>
        <v/>
      </c>
      <c r="AA163" s="2" t="str">
        <f t="shared" ca="1" si="41"/>
        <v/>
      </c>
      <c r="AB163" s="2" t="str">
        <f t="shared" ca="1" si="42"/>
        <v/>
      </c>
      <c r="AC163" s="1" t="str">
        <f t="shared" ca="1" si="43"/>
        <v/>
      </c>
      <c r="AD163" t="str">
        <f t="shared" si="44"/>
        <v/>
      </c>
    </row>
    <row r="164" spans="1:30" s="2" customFormat="1">
      <c r="A164" s="30" t="str">
        <f t="shared" si="36"/>
        <v/>
      </c>
      <c r="B164" s="14"/>
      <c r="C164" s="4"/>
      <c r="D164" s="4"/>
      <c r="E164" s="4"/>
      <c r="F164" s="4"/>
      <c r="G164" s="4"/>
      <c r="H164" s="15"/>
      <c r="I164" s="14"/>
      <c r="J164" s="4"/>
      <c r="K164" s="4"/>
      <c r="L164" s="4"/>
      <c r="M164" s="4"/>
      <c r="N164" s="4"/>
      <c r="O164" s="13"/>
      <c r="P164" s="20"/>
      <c r="Q164" s="4"/>
      <c r="R164" s="66"/>
      <c r="S164" s="5"/>
      <c r="T164" s="59"/>
      <c r="U164" s="62"/>
      <c r="V164" s="53"/>
      <c r="W164" s="2" t="str">
        <f t="shared" ca="1" si="37"/>
        <v/>
      </c>
      <c r="X164" s="2">
        <f t="shared" si="38"/>
        <v>0</v>
      </c>
      <c r="Y164" s="2" t="str">
        <f t="shared" ca="1" si="39"/>
        <v/>
      </c>
      <c r="Z164" s="1" t="str">
        <f t="shared" ca="1" si="40"/>
        <v/>
      </c>
      <c r="AA164" s="2" t="str">
        <f t="shared" ca="1" si="41"/>
        <v/>
      </c>
      <c r="AB164" s="2" t="str">
        <f t="shared" ca="1" si="42"/>
        <v/>
      </c>
      <c r="AC164" s="1" t="str">
        <f t="shared" ca="1" si="43"/>
        <v/>
      </c>
      <c r="AD164" t="str">
        <f t="shared" si="44"/>
        <v/>
      </c>
    </row>
    <row r="165" spans="1:30" s="2" customFormat="1">
      <c r="A165" s="30" t="str">
        <f t="shared" ref="A165:A196" si="45">IF(NOT(COUNTA(B165:H165)),"",ROW()-4)</f>
        <v/>
      </c>
      <c r="B165" s="14"/>
      <c r="C165" s="4"/>
      <c r="D165" s="4"/>
      <c r="E165" s="4"/>
      <c r="F165" s="4"/>
      <c r="G165" s="4"/>
      <c r="H165" s="15"/>
      <c r="I165" s="14"/>
      <c r="J165" s="4"/>
      <c r="K165" s="4"/>
      <c r="L165" s="4"/>
      <c r="M165" s="4"/>
      <c r="N165" s="4"/>
      <c r="O165" s="13"/>
      <c r="P165" s="20"/>
      <c r="Q165" s="4"/>
      <c r="R165" s="66"/>
      <c r="S165" s="5"/>
      <c r="T165" s="59"/>
      <c r="U165" s="62"/>
      <c r="V165" s="53"/>
      <c r="W165" s="2" t="str">
        <f t="shared" ref="W165:W196" ca="1" si="46">IF(ISNA(VLOOKUP(P165,內容物Mapping,2,FALSE)),"",VLOOKUP(P165,內容物Mapping,2,FALSE))</f>
        <v/>
      </c>
      <c r="X165" s="2">
        <f t="shared" ref="X165:X197" si="47">IF(P165="其他",TRIM(Q165),P165)</f>
        <v>0</v>
      </c>
      <c r="Y165" s="2" t="str">
        <f t="shared" ref="Y165:Y196" ca="1" si="48">IF(ISNA(VLOOKUP(V165,未寄達處理方式Mapping,2,FALSE)),"",VLOOKUP(V165,未寄達處理方式Mapping,2,FALSE))</f>
        <v/>
      </c>
      <c r="Z165" s="1" t="str">
        <f t="shared" ref="Z165:Z196" ca="1" si="49">IF(ISNA(VLOOKUP(D165,地址類別Mapping,2,FALSE)),"",VLOOKUP(D165,地址類別Mapping,2,FALSE))</f>
        <v/>
      </c>
      <c r="AA165" s="2" t="str">
        <f t="shared" ref="AA165:AA196" ca="1" si="50">IF(ISNA(VLOOKUP(E165&amp;"-"&amp;F165,郵遞區號,2,FALSE)),"",VLOOKUP(E165&amp;"-"&amp;F165,郵遞區號,2,FALSE))</f>
        <v/>
      </c>
      <c r="AB165" s="2" t="str">
        <f t="shared" ref="AB165:AB196" ca="1" si="51">IF(ISNA(VLOOKUP(L165&amp;"-"&amp;M165,郵遞區號,2,FALSE)),"",VLOOKUP(L165&amp;"-"&amp;M165,郵遞區號,2,FALSE))</f>
        <v/>
      </c>
      <c r="AC165" s="1" t="str">
        <f t="shared" ref="AC165:AC196" ca="1" si="52">IF(ISNA(VLOOKUP(S165,箱袋種類Mapping,2,FALSE)),"",VLOOKUP(S165,箱袋種類Mapping,2,FALSE))</f>
        <v/>
      </c>
      <c r="AD165" t="str">
        <f t="shared" ref="AD165:AD197" si="53">IF(TRIM(B165)&lt;&gt;"","202","")</f>
        <v/>
      </c>
    </row>
    <row r="166" spans="1:30" s="2" customFormat="1">
      <c r="A166" s="30" t="str">
        <f t="shared" si="45"/>
        <v/>
      </c>
      <c r="B166" s="14"/>
      <c r="C166" s="4"/>
      <c r="D166" s="4"/>
      <c r="E166" s="4"/>
      <c r="F166" s="4"/>
      <c r="G166" s="4"/>
      <c r="H166" s="15"/>
      <c r="I166" s="14"/>
      <c r="J166" s="4"/>
      <c r="K166" s="4"/>
      <c r="L166" s="4"/>
      <c r="M166" s="4"/>
      <c r="N166" s="4"/>
      <c r="O166" s="13"/>
      <c r="P166" s="20"/>
      <c r="Q166" s="4"/>
      <c r="R166" s="66"/>
      <c r="S166" s="5"/>
      <c r="T166" s="59"/>
      <c r="U166" s="62"/>
      <c r="V166" s="53"/>
      <c r="W166" s="2" t="str">
        <f t="shared" ca="1" si="46"/>
        <v/>
      </c>
      <c r="X166" s="2">
        <f t="shared" si="47"/>
        <v>0</v>
      </c>
      <c r="Y166" s="2" t="str">
        <f t="shared" ca="1" si="48"/>
        <v/>
      </c>
      <c r="Z166" s="1" t="str">
        <f t="shared" ca="1" si="49"/>
        <v/>
      </c>
      <c r="AA166" s="2" t="str">
        <f t="shared" ca="1" si="50"/>
        <v/>
      </c>
      <c r="AB166" s="2" t="str">
        <f t="shared" ca="1" si="51"/>
        <v/>
      </c>
      <c r="AC166" s="1" t="str">
        <f t="shared" ca="1" si="52"/>
        <v/>
      </c>
      <c r="AD166" t="str">
        <f t="shared" si="53"/>
        <v/>
      </c>
    </row>
    <row r="167" spans="1:30" s="2" customFormat="1">
      <c r="A167" s="30" t="str">
        <f t="shared" si="45"/>
        <v/>
      </c>
      <c r="B167" s="14"/>
      <c r="C167" s="4"/>
      <c r="D167" s="4"/>
      <c r="E167" s="4"/>
      <c r="F167" s="4"/>
      <c r="G167" s="4"/>
      <c r="H167" s="15"/>
      <c r="I167" s="14"/>
      <c r="J167" s="4"/>
      <c r="K167" s="4"/>
      <c r="L167" s="4"/>
      <c r="M167" s="4"/>
      <c r="N167" s="4"/>
      <c r="O167" s="13"/>
      <c r="P167" s="20"/>
      <c r="Q167" s="4"/>
      <c r="R167" s="66"/>
      <c r="S167" s="5"/>
      <c r="T167" s="59"/>
      <c r="U167" s="62"/>
      <c r="V167" s="53"/>
      <c r="W167" s="2" t="str">
        <f t="shared" ca="1" si="46"/>
        <v/>
      </c>
      <c r="X167" s="2">
        <f t="shared" si="47"/>
        <v>0</v>
      </c>
      <c r="Y167" s="2" t="str">
        <f t="shared" ca="1" si="48"/>
        <v/>
      </c>
      <c r="Z167" s="1" t="str">
        <f t="shared" ca="1" si="49"/>
        <v/>
      </c>
      <c r="AA167" s="2" t="str">
        <f t="shared" ca="1" si="50"/>
        <v/>
      </c>
      <c r="AB167" s="2" t="str">
        <f t="shared" ca="1" si="51"/>
        <v/>
      </c>
      <c r="AC167" s="1" t="str">
        <f t="shared" ca="1" si="52"/>
        <v/>
      </c>
      <c r="AD167" t="str">
        <f t="shared" si="53"/>
        <v/>
      </c>
    </row>
    <row r="168" spans="1:30" s="2" customFormat="1">
      <c r="A168" s="30" t="str">
        <f t="shared" si="45"/>
        <v/>
      </c>
      <c r="B168" s="14"/>
      <c r="C168" s="4"/>
      <c r="D168" s="4"/>
      <c r="E168" s="4"/>
      <c r="F168" s="4"/>
      <c r="G168" s="4"/>
      <c r="H168" s="15"/>
      <c r="I168" s="14"/>
      <c r="J168" s="4"/>
      <c r="K168" s="4"/>
      <c r="L168" s="4"/>
      <c r="M168" s="4"/>
      <c r="N168" s="4"/>
      <c r="O168" s="13"/>
      <c r="P168" s="20"/>
      <c r="Q168" s="4"/>
      <c r="R168" s="66"/>
      <c r="S168" s="5"/>
      <c r="T168" s="59"/>
      <c r="U168" s="62"/>
      <c r="V168" s="53"/>
      <c r="W168" s="2" t="str">
        <f t="shared" ca="1" si="46"/>
        <v/>
      </c>
      <c r="X168" s="2">
        <f t="shared" si="47"/>
        <v>0</v>
      </c>
      <c r="Y168" s="2" t="str">
        <f t="shared" ca="1" si="48"/>
        <v/>
      </c>
      <c r="Z168" s="1" t="str">
        <f t="shared" ca="1" si="49"/>
        <v/>
      </c>
      <c r="AA168" s="2" t="str">
        <f t="shared" ca="1" si="50"/>
        <v/>
      </c>
      <c r="AB168" s="2" t="str">
        <f t="shared" ca="1" si="51"/>
        <v/>
      </c>
      <c r="AC168" s="1" t="str">
        <f t="shared" ca="1" si="52"/>
        <v/>
      </c>
      <c r="AD168" t="str">
        <f t="shared" si="53"/>
        <v/>
      </c>
    </row>
    <row r="169" spans="1:30" s="2" customFormat="1">
      <c r="A169" s="30" t="str">
        <f t="shared" si="45"/>
        <v/>
      </c>
      <c r="B169" s="14"/>
      <c r="C169" s="4"/>
      <c r="D169" s="4"/>
      <c r="E169" s="4"/>
      <c r="F169" s="4"/>
      <c r="G169" s="4"/>
      <c r="H169" s="15"/>
      <c r="I169" s="14"/>
      <c r="J169" s="4"/>
      <c r="K169" s="4"/>
      <c r="L169" s="4"/>
      <c r="M169" s="4"/>
      <c r="N169" s="4"/>
      <c r="O169" s="13"/>
      <c r="P169" s="20"/>
      <c r="Q169" s="4"/>
      <c r="R169" s="66"/>
      <c r="S169" s="5"/>
      <c r="T169" s="59"/>
      <c r="U169" s="62"/>
      <c r="V169" s="53"/>
      <c r="W169" s="2" t="str">
        <f t="shared" ca="1" si="46"/>
        <v/>
      </c>
      <c r="X169" s="2">
        <f t="shared" si="47"/>
        <v>0</v>
      </c>
      <c r="Y169" s="2" t="str">
        <f t="shared" ca="1" si="48"/>
        <v/>
      </c>
      <c r="Z169" s="1" t="str">
        <f t="shared" ca="1" si="49"/>
        <v/>
      </c>
      <c r="AA169" s="2" t="str">
        <f t="shared" ca="1" si="50"/>
        <v/>
      </c>
      <c r="AB169" s="2" t="str">
        <f t="shared" ca="1" si="51"/>
        <v/>
      </c>
      <c r="AC169" s="1" t="str">
        <f t="shared" ca="1" si="52"/>
        <v/>
      </c>
      <c r="AD169" t="str">
        <f t="shared" si="53"/>
        <v/>
      </c>
    </row>
    <row r="170" spans="1:30" s="2" customFormat="1">
      <c r="A170" s="30" t="str">
        <f t="shared" si="45"/>
        <v/>
      </c>
      <c r="B170" s="14"/>
      <c r="C170" s="4"/>
      <c r="D170" s="4"/>
      <c r="E170" s="4"/>
      <c r="F170" s="4"/>
      <c r="G170" s="4"/>
      <c r="H170" s="15"/>
      <c r="I170" s="14"/>
      <c r="J170" s="4"/>
      <c r="K170" s="4"/>
      <c r="L170" s="4"/>
      <c r="M170" s="4"/>
      <c r="N170" s="4"/>
      <c r="O170" s="13"/>
      <c r="P170" s="20"/>
      <c r="Q170" s="4"/>
      <c r="R170" s="66"/>
      <c r="S170" s="5"/>
      <c r="T170" s="59"/>
      <c r="U170" s="62"/>
      <c r="V170" s="53"/>
      <c r="W170" s="2" t="str">
        <f t="shared" ca="1" si="46"/>
        <v/>
      </c>
      <c r="X170" s="2">
        <f t="shared" si="47"/>
        <v>0</v>
      </c>
      <c r="Y170" s="2" t="str">
        <f t="shared" ca="1" si="48"/>
        <v/>
      </c>
      <c r="Z170" s="1" t="str">
        <f t="shared" ca="1" si="49"/>
        <v/>
      </c>
      <c r="AA170" s="2" t="str">
        <f t="shared" ca="1" si="50"/>
        <v/>
      </c>
      <c r="AB170" s="2" t="str">
        <f t="shared" ca="1" si="51"/>
        <v/>
      </c>
      <c r="AC170" s="1" t="str">
        <f t="shared" ca="1" si="52"/>
        <v/>
      </c>
      <c r="AD170" t="str">
        <f t="shared" si="53"/>
        <v/>
      </c>
    </row>
    <row r="171" spans="1:30" s="2" customFormat="1">
      <c r="A171" s="30" t="str">
        <f t="shared" si="45"/>
        <v/>
      </c>
      <c r="B171" s="14"/>
      <c r="C171" s="4"/>
      <c r="D171" s="4"/>
      <c r="E171" s="4"/>
      <c r="F171" s="4"/>
      <c r="G171" s="4"/>
      <c r="H171" s="15"/>
      <c r="I171" s="14"/>
      <c r="J171" s="4"/>
      <c r="K171" s="4"/>
      <c r="L171" s="4"/>
      <c r="M171" s="4"/>
      <c r="N171" s="4"/>
      <c r="O171" s="13"/>
      <c r="P171" s="20"/>
      <c r="Q171" s="4"/>
      <c r="R171" s="66"/>
      <c r="S171" s="5"/>
      <c r="T171" s="59"/>
      <c r="U171" s="62"/>
      <c r="V171" s="53"/>
      <c r="W171" s="2" t="str">
        <f t="shared" ca="1" si="46"/>
        <v/>
      </c>
      <c r="X171" s="2">
        <f t="shared" si="47"/>
        <v>0</v>
      </c>
      <c r="Y171" s="2" t="str">
        <f t="shared" ca="1" si="48"/>
        <v/>
      </c>
      <c r="Z171" s="1" t="str">
        <f t="shared" ca="1" si="49"/>
        <v/>
      </c>
      <c r="AA171" s="2" t="str">
        <f t="shared" ca="1" si="50"/>
        <v/>
      </c>
      <c r="AB171" s="2" t="str">
        <f t="shared" ca="1" si="51"/>
        <v/>
      </c>
      <c r="AC171" s="1" t="str">
        <f t="shared" ca="1" si="52"/>
        <v/>
      </c>
      <c r="AD171" t="str">
        <f t="shared" si="53"/>
        <v/>
      </c>
    </row>
    <row r="172" spans="1:30" s="2" customFormat="1">
      <c r="A172" s="30" t="str">
        <f t="shared" si="45"/>
        <v/>
      </c>
      <c r="B172" s="14"/>
      <c r="C172" s="4"/>
      <c r="D172" s="4"/>
      <c r="E172" s="4"/>
      <c r="F172" s="4"/>
      <c r="G172" s="4"/>
      <c r="H172" s="15"/>
      <c r="I172" s="14"/>
      <c r="J172" s="4"/>
      <c r="K172" s="4"/>
      <c r="L172" s="4"/>
      <c r="M172" s="4"/>
      <c r="N172" s="4"/>
      <c r="O172" s="13"/>
      <c r="P172" s="20"/>
      <c r="Q172" s="4"/>
      <c r="R172" s="66"/>
      <c r="S172" s="5"/>
      <c r="T172" s="59"/>
      <c r="U172" s="62"/>
      <c r="V172" s="53"/>
      <c r="W172" s="2" t="str">
        <f t="shared" ca="1" si="46"/>
        <v/>
      </c>
      <c r="X172" s="2">
        <f t="shared" si="47"/>
        <v>0</v>
      </c>
      <c r="Y172" s="2" t="str">
        <f t="shared" ca="1" si="48"/>
        <v/>
      </c>
      <c r="Z172" s="1" t="str">
        <f t="shared" ca="1" si="49"/>
        <v/>
      </c>
      <c r="AA172" s="2" t="str">
        <f t="shared" ca="1" si="50"/>
        <v/>
      </c>
      <c r="AB172" s="2" t="str">
        <f t="shared" ca="1" si="51"/>
        <v/>
      </c>
      <c r="AC172" s="1" t="str">
        <f t="shared" ca="1" si="52"/>
        <v/>
      </c>
      <c r="AD172" t="str">
        <f t="shared" si="53"/>
        <v/>
      </c>
    </row>
    <row r="173" spans="1:30" s="2" customFormat="1">
      <c r="A173" s="30" t="str">
        <f t="shared" si="45"/>
        <v/>
      </c>
      <c r="B173" s="14"/>
      <c r="C173" s="4"/>
      <c r="D173" s="4"/>
      <c r="E173" s="4"/>
      <c r="F173" s="4"/>
      <c r="G173" s="4"/>
      <c r="H173" s="15"/>
      <c r="I173" s="14"/>
      <c r="J173" s="4"/>
      <c r="K173" s="4"/>
      <c r="L173" s="4"/>
      <c r="M173" s="4"/>
      <c r="N173" s="4"/>
      <c r="O173" s="13"/>
      <c r="P173" s="20"/>
      <c r="Q173" s="4"/>
      <c r="R173" s="66"/>
      <c r="S173" s="5"/>
      <c r="T173" s="59"/>
      <c r="U173" s="62"/>
      <c r="V173" s="53"/>
      <c r="W173" s="2" t="str">
        <f t="shared" ca="1" si="46"/>
        <v/>
      </c>
      <c r="X173" s="2">
        <f t="shared" si="47"/>
        <v>0</v>
      </c>
      <c r="Y173" s="2" t="str">
        <f t="shared" ca="1" si="48"/>
        <v/>
      </c>
      <c r="Z173" s="1" t="str">
        <f t="shared" ca="1" si="49"/>
        <v/>
      </c>
      <c r="AA173" s="2" t="str">
        <f t="shared" ca="1" si="50"/>
        <v/>
      </c>
      <c r="AB173" s="2" t="str">
        <f t="shared" ca="1" si="51"/>
        <v/>
      </c>
      <c r="AC173" s="1" t="str">
        <f t="shared" ca="1" si="52"/>
        <v/>
      </c>
      <c r="AD173" t="str">
        <f t="shared" si="53"/>
        <v/>
      </c>
    </row>
    <row r="174" spans="1:30" s="2" customFormat="1">
      <c r="A174" s="30" t="str">
        <f t="shared" si="45"/>
        <v/>
      </c>
      <c r="B174" s="14"/>
      <c r="C174" s="4"/>
      <c r="D174" s="4"/>
      <c r="E174" s="4"/>
      <c r="F174" s="4"/>
      <c r="G174" s="4"/>
      <c r="H174" s="15"/>
      <c r="I174" s="14"/>
      <c r="J174" s="4"/>
      <c r="K174" s="4"/>
      <c r="L174" s="4"/>
      <c r="M174" s="4"/>
      <c r="N174" s="4"/>
      <c r="O174" s="13"/>
      <c r="P174" s="20"/>
      <c r="Q174" s="4"/>
      <c r="R174" s="66"/>
      <c r="S174" s="5"/>
      <c r="T174" s="59"/>
      <c r="U174" s="62"/>
      <c r="V174" s="53"/>
      <c r="W174" s="2" t="str">
        <f t="shared" ca="1" si="46"/>
        <v/>
      </c>
      <c r="X174" s="2">
        <f t="shared" si="47"/>
        <v>0</v>
      </c>
      <c r="Y174" s="2" t="str">
        <f t="shared" ca="1" si="48"/>
        <v/>
      </c>
      <c r="Z174" s="1" t="str">
        <f t="shared" ca="1" si="49"/>
        <v/>
      </c>
      <c r="AA174" s="2" t="str">
        <f t="shared" ca="1" si="50"/>
        <v/>
      </c>
      <c r="AB174" s="2" t="str">
        <f t="shared" ca="1" si="51"/>
        <v/>
      </c>
      <c r="AC174" s="1" t="str">
        <f t="shared" ca="1" si="52"/>
        <v/>
      </c>
      <c r="AD174" t="str">
        <f t="shared" si="53"/>
        <v/>
      </c>
    </row>
    <row r="175" spans="1:30" s="2" customFormat="1">
      <c r="A175" s="30" t="str">
        <f t="shared" si="45"/>
        <v/>
      </c>
      <c r="B175" s="14"/>
      <c r="C175" s="4"/>
      <c r="D175" s="4"/>
      <c r="E175" s="4"/>
      <c r="F175" s="4"/>
      <c r="G175" s="4"/>
      <c r="H175" s="15"/>
      <c r="I175" s="14"/>
      <c r="J175" s="4"/>
      <c r="K175" s="4"/>
      <c r="L175" s="4"/>
      <c r="M175" s="4"/>
      <c r="N175" s="4"/>
      <c r="O175" s="13"/>
      <c r="P175" s="20"/>
      <c r="Q175" s="4"/>
      <c r="R175" s="66"/>
      <c r="S175" s="5"/>
      <c r="T175" s="59"/>
      <c r="U175" s="62"/>
      <c r="V175" s="53"/>
      <c r="W175" s="2" t="str">
        <f t="shared" ca="1" si="46"/>
        <v/>
      </c>
      <c r="X175" s="2">
        <f t="shared" si="47"/>
        <v>0</v>
      </c>
      <c r="Y175" s="2" t="str">
        <f t="shared" ca="1" si="48"/>
        <v/>
      </c>
      <c r="Z175" s="1" t="str">
        <f t="shared" ca="1" si="49"/>
        <v/>
      </c>
      <c r="AA175" s="2" t="str">
        <f t="shared" ca="1" si="50"/>
        <v/>
      </c>
      <c r="AB175" s="2" t="str">
        <f t="shared" ca="1" si="51"/>
        <v/>
      </c>
      <c r="AC175" s="1" t="str">
        <f t="shared" ca="1" si="52"/>
        <v/>
      </c>
      <c r="AD175" t="str">
        <f t="shared" si="53"/>
        <v/>
      </c>
    </row>
    <row r="176" spans="1:30" s="2" customFormat="1">
      <c r="A176" s="30" t="str">
        <f t="shared" si="45"/>
        <v/>
      </c>
      <c r="B176" s="14"/>
      <c r="C176" s="4"/>
      <c r="D176" s="4"/>
      <c r="E176" s="4"/>
      <c r="F176" s="4"/>
      <c r="G176" s="4"/>
      <c r="H176" s="15"/>
      <c r="I176" s="14"/>
      <c r="J176" s="4"/>
      <c r="K176" s="4"/>
      <c r="L176" s="4"/>
      <c r="M176" s="4"/>
      <c r="N176" s="4"/>
      <c r="O176" s="13"/>
      <c r="P176" s="20"/>
      <c r="Q176" s="4"/>
      <c r="R176" s="66"/>
      <c r="S176" s="5"/>
      <c r="T176" s="59"/>
      <c r="U176" s="62"/>
      <c r="V176" s="53"/>
      <c r="W176" s="2" t="str">
        <f t="shared" ca="1" si="46"/>
        <v/>
      </c>
      <c r="X176" s="2">
        <f t="shared" si="47"/>
        <v>0</v>
      </c>
      <c r="Y176" s="2" t="str">
        <f t="shared" ca="1" si="48"/>
        <v/>
      </c>
      <c r="Z176" s="1" t="str">
        <f t="shared" ca="1" si="49"/>
        <v/>
      </c>
      <c r="AA176" s="2" t="str">
        <f t="shared" ca="1" si="50"/>
        <v/>
      </c>
      <c r="AB176" s="2" t="str">
        <f t="shared" ca="1" si="51"/>
        <v/>
      </c>
      <c r="AC176" s="1" t="str">
        <f t="shared" ca="1" si="52"/>
        <v/>
      </c>
      <c r="AD176" t="str">
        <f t="shared" si="53"/>
        <v/>
      </c>
    </row>
    <row r="177" spans="1:30" s="2" customFormat="1">
      <c r="A177" s="30" t="str">
        <f t="shared" si="45"/>
        <v/>
      </c>
      <c r="B177" s="14"/>
      <c r="C177" s="4"/>
      <c r="D177" s="4"/>
      <c r="E177" s="4"/>
      <c r="F177" s="4"/>
      <c r="G177" s="4"/>
      <c r="H177" s="15"/>
      <c r="I177" s="14"/>
      <c r="J177" s="4"/>
      <c r="K177" s="4"/>
      <c r="L177" s="4"/>
      <c r="M177" s="4"/>
      <c r="N177" s="4"/>
      <c r="O177" s="13"/>
      <c r="P177" s="20"/>
      <c r="Q177" s="4"/>
      <c r="R177" s="66"/>
      <c r="S177" s="5"/>
      <c r="T177" s="59"/>
      <c r="U177" s="62"/>
      <c r="V177" s="53"/>
      <c r="W177" s="2" t="str">
        <f t="shared" ca="1" si="46"/>
        <v/>
      </c>
      <c r="X177" s="2">
        <f t="shared" si="47"/>
        <v>0</v>
      </c>
      <c r="Y177" s="2" t="str">
        <f t="shared" ca="1" si="48"/>
        <v/>
      </c>
      <c r="Z177" s="1" t="str">
        <f t="shared" ca="1" si="49"/>
        <v/>
      </c>
      <c r="AA177" s="2" t="str">
        <f t="shared" ca="1" si="50"/>
        <v/>
      </c>
      <c r="AB177" s="2" t="str">
        <f t="shared" ca="1" si="51"/>
        <v/>
      </c>
      <c r="AC177" s="1" t="str">
        <f t="shared" ca="1" si="52"/>
        <v/>
      </c>
      <c r="AD177" t="str">
        <f t="shared" si="53"/>
        <v/>
      </c>
    </row>
    <row r="178" spans="1:30" s="2" customFormat="1">
      <c r="A178" s="30" t="str">
        <f t="shared" si="45"/>
        <v/>
      </c>
      <c r="B178" s="14"/>
      <c r="C178" s="4"/>
      <c r="D178" s="4"/>
      <c r="E178" s="4"/>
      <c r="F178" s="4"/>
      <c r="G178" s="4"/>
      <c r="H178" s="15"/>
      <c r="I178" s="14"/>
      <c r="J178" s="4"/>
      <c r="K178" s="4"/>
      <c r="L178" s="4"/>
      <c r="M178" s="4"/>
      <c r="N178" s="4"/>
      <c r="O178" s="13"/>
      <c r="P178" s="20"/>
      <c r="Q178" s="4"/>
      <c r="R178" s="66"/>
      <c r="S178" s="5"/>
      <c r="T178" s="59"/>
      <c r="U178" s="62"/>
      <c r="V178" s="53"/>
      <c r="W178" s="2" t="str">
        <f t="shared" ca="1" si="46"/>
        <v/>
      </c>
      <c r="X178" s="2">
        <f t="shared" si="47"/>
        <v>0</v>
      </c>
      <c r="Y178" s="2" t="str">
        <f t="shared" ca="1" si="48"/>
        <v/>
      </c>
      <c r="Z178" s="1" t="str">
        <f t="shared" ca="1" si="49"/>
        <v/>
      </c>
      <c r="AA178" s="2" t="str">
        <f t="shared" ca="1" si="50"/>
        <v/>
      </c>
      <c r="AB178" s="2" t="str">
        <f t="shared" ca="1" si="51"/>
        <v/>
      </c>
      <c r="AC178" s="1" t="str">
        <f t="shared" ca="1" si="52"/>
        <v/>
      </c>
      <c r="AD178" t="str">
        <f t="shared" si="53"/>
        <v/>
      </c>
    </row>
    <row r="179" spans="1:30" s="2" customFormat="1">
      <c r="A179" s="30" t="str">
        <f t="shared" si="45"/>
        <v/>
      </c>
      <c r="B179" s="14"/>
      <c r="C179" s="4"/>
      <c r="D179" s="4"/>
      <c r="E179" s="4"/>
      <c r="F179" s="4"/>
      <c r="G179" s="4"/>
      <c r="H179" s="15"/>
      <c r="I179" s="14"/>
      <c r="J179" s="4"/>
      <c r="K179" s="4"/>
      <c r="L179" s="4"/>
      <c r="M179" s="4"/>
      <c r="N179" s="4"/>
      <c r="O179" s="13"/>
      <c r="P179" s="20"/>
      <c r="Q179" s="4"/>
      <c r="R179" s="66"/>
      <c r="S179" s="5"/>
      <c r="T179" s="59"/>
      <c r="U179" s="62"/>
      <c r="V179" s="53"/>
      <c r="W179" s="2" t="str">
        <f t="shared" ca="1" si="46"/>
        <v/>
      </c>
      <c r="X179" s="2">
        <f t="shared" si="47"/>
        <v>0</v>
      </c>
      <c r="Y179" s="2" t="str">
        <f t="shared" ca="1" si="48"/>
        <v/>
      </c>
      <c r="Z179" s="1" t="str">
        <f t="shared" ca="1" si="49"/>
        <v/>
      </c>
      <c r="AA179" s="2" t="str">
        <f t="shared" ca="1" si="50"/>
        <v/>
      </c>
      <c r="AB179" s="2" t="str">
        <f t="shared" ca="1" si="51"/>
        <v/>
      </c>
      <c r="AC179" s="1" t="str">
        <f t="shared" ca="1" si="52"/>
        <v/>
      </c>
      <c r="AD179" t="str">
        <f t="shared" si="53"/>
        <v/>
      </c>
    </row>
    <row r="180" spans="1:30" s="2" customFormat="1">
      <c r="A180" s="30" t="str">
        <f t="shared" si="45"/>
        <v/>
      </c>
      <c r="B180" s="14"/>
      <c r="C180" s="4"/>
      <c r="D180" s="4"/>
      <c r="E180" s="4"/>
      <c r="F180" s="4"/>
      <c r="G180" s="4"/>
      <c r="H180" s="15"/>
      <c r="I180" s="14"/>
      <c r="J180" s="4"/>
      <c r="K180" s="4"/>
      <c r="L180" s="4"/>
      <c r="M180" s="4"/>
      <c r="N180" s="4"/>
      <c r="O180" s="13"/>
      <c r="P180" s="20"/>
      <c r="Q180" s="4"/>
      <c r="R180" s="66"/>
      <c r="S180" s="5"/>
      <c r="T180" s="59"/>
      <c r="U180" s="62"/>
      <c r="V180" s="53"/>
      <c r="W180" s="2" t="str">
        <f t="shared" ca="1" si="46"/>
        <v/>
      </c>
      <c r="X180" s="2">
        <f t="shared" si="47"/>
        <v>0</v>
      </c>
      <c r="Y180" s="2" t="str">
        <f t="shared" ca="1" si="48"/>
        <v/>
      </c>
      <c r="Z180" s="1" t="str">
        <f t="shared" ca="1" si="49"/>
        <v/>
      </c>
      <c r="AA180" s="2" t="str">
        <f t="shared" ca="1" si="50"/>
        <v/>
      </c>
      <c r="AB180" s="2" t="str">
        <f t="shared" ca="1" si="51"/>
        <v/>
      </c>
      <c r="AC180" s="1" t="str">
        <f t="shared" ca="1" si="52"/>
        <v/>
      </c>
      <c r="AD180" t="str">
        <f t="shared" si="53"/>
        <v/>
      </c>
    </row>
    <row r="181" spans="1:30" s="2" customFormat="1">
      <c r="A181" s="30" t="str">
        <f t="shared" si="45"/>
        <v/>
      </c>
      <c r="B181" s="14"/>
      <c r="C181" s="4"/>
      <c r="D181" s="4"/>
      <c r="E181" s="4"/>
      <c r="F181" s="4"/>
      <c r="G181" s="4"/>
      <c r="H181" s="15"/>
      <c r="I181" s="14"/>
      <c r="J181" s="4"/>
      <c r="K181" s="4"/>
      <c r="L181" s="4"/>
      <c r="M181" s="4"/>
      <c r="N181" s="4"/>
      <c r="O181" s="13"/>
      <c r="P181" s="20"/>
      <c r="Q181" s="4"/>
      <c r="R181" s="66"/>
      <c r="S181" s="5"/>
      <c r="T181" s="59"/>
      <c r="U181" s="62"/>
      <c r="V181" s="53"/>
      <c r="W181" s="2" t="str">
        <f t="shared" ca="1" si="46"/>
        <v/>
      </c>
      <c r="X181" s="2">
        <f t="shared" si="47"/>
        <v>0</v>
      </c>
      <c r="Y181" s="2" t="str">
        <f t="shared" ca="1" si="48"/>
        <v/>
      </c>
      <c r="Z181" s="1" t="str">
        <f t="shared" ca="1" si="49"/>
        <v/>
      </c>
      <c r="AA181" s="2" t="str">
        <f t="shared" ca="1" si="50"/>
        <v/>
      </c>
      <c r="AB181" s="2" t="str">
        <f t="shared" ca="1" si="51"/>
        <v/>
      </c>
      <c r="AC181" s="1" t="str">
        <f t="shared" ca="1" si="52"/>
        <v/>
      </c>
      <c r="AD181" t="str">
        <f t="shared" si="53"/>
        <v/>
      </c>
    </row>
    <row r="182" spans="1:30" s="2" customFormat="1">
      <c r="A182" s="30" t="str">
        <f t="shared" si="45"/>
        <v/>
      </c>
      <c r="B182" s="14"/>
      <c r="C182" s="4"/>
      <c r="D182" s="4"/>
      <c r="E182" s="4"/>
      <c r="F182" s="4"/>
      <c r="G182" s="4"/>
      <c r="H182" s="15"/>
      <c r="I182" s="14"/>
      <c r="J182" s="4"/>
      <c r="K182" s="4"/>
      <c r="L182" s="4"/>
      <c r="M182" s="4"/>
      <c r="N182" s="4"/>
      <c r="O182" s="13"/>
      <c r="P182" s="20"/>
      <c r="Q182" s="4"/>
      <c r="R182" s="66"/>
      <c r="S182" s="5"/>
      <c r="T182" s="59"/>
      <c r="U182" s="62"/>
      <c r="V182" s="53"/>
      <c r="W182" s="2" t="str">
        <f t="shared" ca="1" si="46"/>
        <v/>
      </c>
      <c r="X182" s="2">
        <f t="shared" si="47"/>
        <v>0</v>
      </c>
      <c r="Y182" s="2" t="str">
        <f t="shared" ca="1" si="48"/>
        <v/>
      </c>
      <c r="Z182" s="1" t="str">
        <f t="shared" ca="1" si="49"/>
        <v/>
      </c>
      <c r="AA182" s="2" t="str">
        <f t="shared" ca="1" si="50"/>
        <v/>
      </c>
      <c r="AB182" s="2" t="str">
        <f t="shared" ca="1" si="51"/>
        <v/>
      </c>
      <c r="AC182" s="1" t="str">
        <f t="shared" ca="1" si="52"/>
        <v/>
      </c>
      <c r="AD182" t="str">
        <f t="shared" si="53"/>
        <v/>
      </c>
    </row>
    <row r="183" spans="1:30" s="2" customFormat="1">
      <c r="A183" s="30" t="str">
        <f t="shared" si="45"/>
        <v/>
      </c>
      <c r="B183" s="14"/>
      <c r="C183" s="4"/>
      <c r="D183" s="4"/>
      <c r="E183" s="4"/>
      <c r="F183" s="4"/>
      <c r="G183" s="4"/>
      <c r="H183" s="15"/>
      <c r="I183" s="14"/>
      <c r="J183" s="4"/>
      <c r="K183" s="4"/>
      <c r="L183" s="4"/>
      <c r="M183" s="4"/>
      <c r="N183" s="4"/>
      <c r="O183" s="13"/>
      <c r="P183" s="20"/>
      <c r="Q183" s="4"/>
      <c r="R183" s="66"/>
      <c r="S183" s="5"/>
      <c r="T183" s="59"/>
      <c r="U183" s="62"/>
      <c r="V183" s="53"/>
      <c r="W183" s="2" t="str">
        <f t="shared" ca="1" si="46"/>
        <v/>
      </c>
      <c r="X183" s="2">
        <f t="shared" si="47"/>
        <v>0</v>
      </c>
      <c r="Y183" s="2" t="str">
        <f t="shared" ca="1" si="48"/>
        <v/>
      </c>
      <c r="Z183" s="1" t="str">
        <f t="shared" ca="1" si="49"/>
        <v/>
      </c>
      <c r="AA183" s="2" t="str">
        <f t="shared" ca="1" si="50"/>
        <v/>
      </c>
      <c r="AB183" s="2" t="str">
        <f t="shared" ca="1" si="51"/>
        <v/>
      </c>
      <c r="AC183" s="1" t="str">
        <f t="shared" ca="1" si="52"/>
        <v/>
      </c>
      <c r="AD183" t="str">
        <f t="shared" si="53"/>
        <v/>
      </c>
    </row>
    <row r="184" spans="1:30" s="2" customFormat="1">
      <c r="A184" s="30" t="str">
        <f t="shared" si="45"/>
        <v/>
      </c>
      <c r="B184" s="14"/>
      <c r="C184" s="4"/>
      <c r="D184" s="4"/>
      <c r="E184" s="4"/>
      <c r="F184" s="4"/>
      <c r="G184" s="4"/>
      <c r="H184" s="15"/>
      <c r="I184" s="14"/>
      <c r="J184" s="4"/>
      <c r="K184" s="4"/>
      <c r="L184" s="4"/>
      <c r="M184" s="4"/>
      <c r="N184" s="4"/>
      <c r="O184" s="13"/>
      <c r="P184" s="20"/>
      <c r="Q184" s="4"/>
      <c r="R184" s="66"/>
      <c r="S184" s="5"/>
      <c r="T184" s="59"/>
      <c r="U184" s="62"/>
      <c r="V184" s="53"/>
      <c r="W184" s="2" t="str">
        <f t="shared" ca="1" si="46"/>
        <v/>
      </c>
      <c r="X184" s="2">
        <f t="shared" si="47"/>
        <v>0</v>
      </c>
      <c r="Y184" s="2" t="str">
        <f t="shared" ca="1" si="48"/>
        <v/>
      </c>
      <c r="Z184" s="1" t="str">
        <f t="shared" ca="1" si="49"/>
        <v/>
      </c>
      <c r="AA184" s="2" t="str">
        <f t="shared" ca="1" si="50"/>
        <v/>
      </c>
      <c r="AB184" s="2" t="str">
        <f t="shared" ca="1" si="51"/>
        <v/>
      </c>
      <c r="AC184" s="1" t="str">
        <f t="shared" ca="1" si="52"/>
        <v/>
      </c>
      <c r="AD184" t="str">
        <f t="shared" si="53"/>
        <v/>
      </c>
    </row>
    <row r="185" spans="1:30" s="2" customFormat="1">
      <c r="A185" s="30" t="str">
        <f t="shared" si="45"/>
        <v/>
      </c>
      <c r="B185" s="14"/>
      <c r="C185" s="4"/>
      <c r="D185" s="4"/>
      <c r="E185" s="4"/>
      <c r="F185" s="4"/>
      <c r="G185" s="4"/>
      <c r="H185" s="15"/>
      <c r="I185" s="14"/>
      <c r="J185" s="4"/>
      <c r="K185" s="4"/>
      <c r="L185" s="4"/>
      <c r="M185" s="4"/>
      <c r="N185" s="4"/>
      <c r="O185" s="13"/>
      <c r="P185" s="20"/>
      <c r="Q185" s="4"/>
      <c r="R185" s="66"/>
      <c r="S185" s="5"/>
      <c r="T185" s="59"/>
      <c r="U185" s="62"/>
      <c r="V185" s="53"/>
      <c r="W185" s="2" t="str">
        <f t="shared" ca="1" si="46"/>
        <v/>
      </c>
      <c r="X185" s="2">
        <f t="shared" si="47"/>
        <v>0</v>
      </c>
      <c r="Y185" s="2" t="str">
        <f t="shared" ca="1" si="48"/>
        <v/>
      </c>
      <c r="Z185" s="1" t="str">
        <f t="shared" ca="1" si="49"/>
        <v/>
      </c>
      <c r="AA185" s="2" t="str">
        <f t="shared" ca="1" si="50"/>
        <v/>
      </c>
      <c r="AB185" s="2" t="str">
        <f t="shared" ca="1" si="51"/>
        <v/>
      </c>
      <c r="AC185" s="1" t="str">
        <f t="shared" ca="1" si="52"/>
        <v/>
      </c>
      <c r="AD185" t="str">
        <f t="shared" si="53"/>
        <v/>
      </c>
    </row>
    <row r="186" spans="1:30" s="2" customFormat="1">
      <c r="A186" s="30" t="str">
        <f t="shared" si="45"/>
        <v/>
      </c>
      <c r="B186" s="14"/>
      <c r="C186" s="4"/>
      <c r="D186" s="4"/>
      <c r="E186" s="4"/>
      <c r="F186" s="4"/>
      <c r="G186" s="4"/>
      <c r="H186" s="15"/>
      <c r="I186" s="14"/>
      <c r="J186" s="4"/>
      <c r="K186" s="4"/>
      <c r="L186" s="4"/>
      <c r="M186" s="4"/>
      <c r="N186" s="4"/>
      <c r="O186" s="13"/>
      <c r="P186" s="20"/>
      <c r="Q186" s="4"/>
      <c r="R186" s="66"/>
      <c r="S186" s="5"/>
      <c r="T186" s="59"/>
      <c r="U186" s="62"/>
      <c r="V186" s="53"/>
      <c r="W186" s="2" t="str">
        <f t="shared" ca="1" si="46"/>
        <v/>
      </c>
      <c r="X186" s="2">
        <f t="shared" si="47"/>
        <v>0</v>
      </c>
      <c r="Y186" s="2" t="str">
        <f t="shared" ca="1" si="48"/>
        <v/>
      </c>
      <c r="Z186" s="1" t="str">
        <f t="shared" ca="1" si="49"/>
        <v/>
      </c>
      <c r="AA186" s="2" t="str">
        <f t="shared" ca="1" si="50"/>
        <v/>
      </c>
      <c r="AB186" s="2" t="str">
        <f t="shared" ca="1" si="51"/>
        <v/>
      </c>
      <c r="AC186" s="1" t="str">
        <f t="shared" ca="1" si="52"/>
        <v/>
      </c>
      <c r="AD186" t="str">
        <f t="shared" si="53"/>
        <v/>
      </c>
    </row>
    <row r="187" spans="1:30" s="2" customFormat="1">
      <c r="A187" s="30" t="str">
        <f t="shared" si="45"/>
        <v/>
      </c>
      <c r="B187" s="14"/>
      <c r="C187" s="4"/>
      <c r="D187" s="4"/>
      <c r="E187" s="4"/>
      <c r="F187" s="4"/>
      <c r="G187" s="4"/>
      <c r="H187" s="15"/>
      <c r="I187" s="14"/>
      <c r="J187" s="4"/>
      <c r="K187" s="4"/>
      <c r="L187" s="4"/>
      <c r="M187" s="4"/>
      <c r="N187" s="4"/>
      <c r="O187" s="13"/>
      <c r="P187" s="20"/>
      <c r="Q187" s="4"/>
      <c r="R187" s="66"/>
      <c r="S187" s="5"/>
      <c r="T187" s="59"/>
      <c r="U187" s="62"/>
      <c r="V187" s="53"/>
      <c r="W187" s="2" t="str">
        <f t="shared" ca="1" si="46"/>
        <v/>
      </c>
      <c r="X187" s="2">
        <f t="shared" si="47"/>
        <v>0</v>
      </c>
      <c r="Y187" s="2" t="str">
        <f t="shared" ca="1" si="48"/>
        <v/>
      </c>
      <c r="Z187" s="1" t="str">
        <f t="shared" ca="1" si="49"/>
        <v/>
      </c>
      <c r="AA187" s="2" t="str">
        <f t="shared" ca="1" si="50"/>
        <v/>
      </c>
      <c r="AB187" s="2" t="str">
        <f t="shared" ca="1" si="51"/>
        <v/>
      </c>
      <c r="AC187" s="1" t="str">
        <f t="shared" ca="1" si="52"/>
        <v/>
      </c>
      <c r="AD187" t="str">
        <f t="shared" si="53"/>
        <v/>
      </c>
    </row>
    <row r="188" spans="1:30" s="2" customFormat="1">
      <c r="A188" s="30" t="str">
        <f t="shared" si="45"/>
        <v/>
      </c>
      <c r="B188" s="14"/>
      <c r="C188" s="4"/>
      <c r="D188" s="4"/>
      <c r="E188" s="4"/>
      <c r="F188" s="4"/>
      <c r="G188" s="4"/>
      <c r="H188" s="15"/>
      <c r="I188" s="14"/>
      <c r="J188" s="4"/>
      <c r="K188" s="4"/>
      <c r="L188" s="4"/>
      <c r="M188" s="4"/>
      <c r="N188" s="4"/>
      <c r="O188" s="13"/>
      <c r="P188" s="20"/>
      <c r="Q188" s="4"/>
      <c r="R188" s="66"/>
      <c r="S188" s="5"/>
      <c r="T188" s="59"/>
      <c r="U188" s="62"/>
      <c r="V188" s="53"/>
      <c r="W188" s="2" t="str">
        <f t="shared" ca="1" si="46"/>
        <v/>
      </c>
      <c r="X188" s="2">
        <f t="shared" si="47"/>
        <v>0</v>
      </c>
      <c r="Y188" s="2" t="str">
        <f t="shared" ca="1" si="48"/>
        <v/>
      </c>
      <c r="Z188" s="1" t="str">
        <f t="shared" ca="1" si="49"/>
        <v/>
      </c>
      <c r="AA188" s="2" t="str">
        <f t="shared" ca="1" si="50"/>
        <v/>
      </c>
      <c r="AB188" s="2" t="str">
        <f t="shared" ca="1" si="51"/>
        <v/>
      </c>
      <c r="AC188" s="1" t="str">
        <f t="shared" ca="1" si="52"/>
        <v/>
      </c>
      <c r="AD188" t="str">
        <f t="shared" si="53"/>
        <v/>
      </c>
    </row>
    <row r="189" spans="1:30" s="2" customFormat="1">
      <c r="A189" s="30" t="str">
        <f t="shared" si="45"/>
        <v/>
      </c>
      <c r="B189" s="14"/>
      <c r="C189" s="4"/>
      <c r="D189" s="4"/>
      <c r="E189" s="4"/>
      <c r="F189" s="4"/>
      <c r="G189" s="4"/>
      <c r="H189" s="15"/>
      <c r="I189" s="14"/>
      <c r="J189" s="4"/>
      <c r="K189" s="4"/>
      <c r="L189" s="4"/>
      <c r="M189" s="4"/>
      <c r="N189" s="4"/>
      <c r="O189" s="13"/>
      <c r="P189" s="20"/>
      <c r="Q189" s="4"/>
      <c r="R189" s="66"/>
      <c r="S189" s="5"/>
      <c r="T189" s="59"/>
      <c r="U189" s="62"/>
      <c r="V189" s="53"/>
      <c r="W189" s="2" t="str">
        <f t="shared" ca="1" si="46"/>
        <v/>
      </c>
      <c r="X189" s="2">
        <f t="shared" si="47"/>
        <v>0</v>
      </c>
      <c r="Y189" s="2" t="str">
        <f t="shared" ca="1" si="48"/>
        <v/>
      </c>
      <c r="Z189" s="1" t="str">
        <f t="shared" ca="1" si="49"/>
        <v/>
      </c>
      <c r="AA189" s="2" t="str">
        <f t="shared" ca="1" si="50"/>
        <v/>
      </c>
      <c r="AB189" s="2" t="str">
        <f t="shared" ca="1" si="51"/>
        <v/>
      </c>
      <c r="AC189" s="1" t="str">
        <f t="shared" ca="1" si="52"/>
        <v/>
      </c>
      <c r="AD189" t="str">
        <f t="shared" si="53"/>
        <v/>
      </c>
    </row>
    <row r="190" spans="1:30" s="2" customFormat="1">
      <c r="A190" s="30" t="str">
        <f t="shared" si="45"/>
        <v/>
      </c>
      <c r="B190" s="14"/>
      <c r="C190" s="4"/>
      <c r="D190" s="4"/>
      <c r="E190" s="4"/>
      <c r="F190" s="4"/>
      <c r="G190" s="4"/>
      <c r="H190" s="15"/>
      <c r="I190" s="14"/>
      <c r="J190" s="4"/>
      <c r="K190" s="4"/>
      <c r="L190" s="4"/>
      <c r="M190" s="4"/>
      <c r="N190" s="4"/>
      <c r="O190" s="13"/>
      <c r="P190" s="20"/>
      <c r="Q190" s="4"/>
      <c r="R190" s="66"/>
      <c r="S190" s="5"/>
      <c r="T190" s="59"/>
      <c r="U190" s="62"/>
      <c r="V190" s="53"/>
      <c r="W190" s="2" t="str">
        <f t="shared" ca="1" si="46"/>
        <v/>
      </c>
      <c r="X190" s="2">
        <f t="shared" si="47"/>
        <v>0</v>
      </c>
      <c r="Y190" s="2" t="str">
        <f t="shared" ca="1" si="48"/>
        <v/>
      </c>
      <c r="Z190" s="1" t="str">
        <f t="shared" ca="1" si="49"/>
        <v/>
      </c>
      <c r="AA190" s="2" t="str">
        <f t="shared" ca="1" si="50"/>
        <v/>
      </c>
      <c r="AB190" s="2" t="str">
        <f t="shared" ca="1" si="51"/>
        <v/>
      </c>
      <c r="AC190" s="1" t="str">
        <f t="shared" ca="1" si="52"/>
        <v/>
      </c>
      <c r="AD190" t="str">
        <f t="shared" si="53"/>
        <v/>
      </c>
    </row>
    <row r="191" spans="1:30" s="2" customFormat="1">
      <c r="A191" s="30" t="str">
        <f t="shared" si="45"/>
        <v/>
      </c>
      <c r="B191" s="14"/>
      <c r="C191" s="4"/>
      <c r="D191" s="4"/>
      <c r="E191" s="4"/>
      <c r="F191" s="4"/>
      <c r="G191" s="4"/>
      <c r="H191" s="15"/>
      <c r="I191" s="14"/>
      <c r="J191" s="4"/>
      <c r="K191" s="4"/>
      <c r="L191" s="4"/>
      <c r="M191" s="4"/>
      <c r="N191" s="4"/>
      <c r="O191" s="13"/>
      <c r="P191" s="20"/>
      <c r="Q191" s="4"/>
      <c r="R191" s="66"/>
      <c r="S191" s="5"/>
      <c r="T191" s="59"/>
      <c r="U191" s="62"/>
      <c r="V191" s="53"/>
      <c r="W191" s="2" t="str">
        <f t="shared" ca="1" si="46"/>
        <v/>
      </c>
      <c r="X191" s="2">
        <f t="shared" si="47"/>
        <v>0</v>
      </c>
      <c r="Y191" s="2" t="str">
        <f t="shared" ca="1" si="48"/>
        <v/>
      </c>
      <c r="Z191" s="1" t="str">
        <f t="shared" ca="1" si="49"/>
        <v/>
      </c>
      <c r="AA191" s="2" t="str">
        <f t="shared" ca="1" si="50"/>
        <v/>
      </c>
      <c r="AB191" s="2" t="str">
        <f t="shared" ca="1" si="51"/>
        <v/>
      </c>
      <c r="AC191" s="1" t="str">
        <f t="shared" ca="1" si="52"/>
        <v/>
      </c>
      <c r="AD191" t="str">
        <f t="shared" si="53"/>
        <v/>
      </c>
    </row>
    <row r="192" spans="1:30" s="2" customFormat="1">
      <c r="A192" s="30" t="str">
        <f t="shared" si="45"/>
        <v/>
      </c>
      <c r="B192" s="14"/>
      <c r="C192" s="4"/>
      <c r="D192" s="4"/>
      <c r="E192" s="4"/>
      <c r="F192" s="4"/>
      <c r="G192" s="4"/>
      <c r="H192" s="15"/>
      <c r="I192" s="14"/>
      <c r="J192" s="4"/>
      <c r="K192" s="4"/>
      <c r="L192" s="4"/>
      <c r="M192" s="4"/>
      <c r="N192" s="4"/>
      <c r="O192" s="13"/>
      <c r="P192" s="20"/>
      <c r="Q192" s="4"/>
      <c r="R192" s="66"/>
      <c r="S192" s="5"/>
      <c r="T192" s="59"/>
      <c r="U192" s="62"/>
      <c r="V192" s="53"/>
      <c r="W192" s="2" t="str">
        <f t="shared" ca="1" si="46"/>
        <v/>
      </c>
      <c r="X192" s="2">
        <f t="shared" si="47"/>
        <v>0</v>
      </c>
      <c r="Y192" s="2" t="str">
        <f t="shared" ca="1" si="48"/>
        <v/>
      </c>
      <c r="Z192" s="1" t="str">
        <f t="shared" ca="1" si="49"/>
        <v/>
      </c>
      <c r="AA192" s="2" t="str">
        <f t="shared" ca="1" si="50"/>
        <v/>
      </c>
      <c r="AB192" s="2" t="str">
        <f t="shared" ca="1" si="51"/>
        <v/>
      </c>
      <c r="AC192" s="1" t="str">
        <f t="shared" ca="1" si="52"/>
        <v/>
      </c>
      <c r="AD192" t="str">
        <f t="shared" si="53"/>
        <v/>
      </c>
    </row>
    <row r="193" spans="1:30" s="2" customFormat="1">
      <c r="A193" s="30" t="str">
        <f t="shared" si="45"/>
        <v/>
      </c>
      <c r="B193" s="14"/>
      <c r="C193" s="4"/>
      <c r="D193" s="4"/>
      <c r="E193" s="4"/>
      <c r="F193" s="4"/>
      <c r="G193" s="4"/>
      <c r="H193" s="15"/>
      <c r="I193" s="14"/>
      <c r="J193" s="4"/>
      <c r="K193" s="4"/>
      <c r="L193" s="4"/>
      <c r="M193" s="4"/>
      <c r="N193" s="4"/>
      <c r="O193" s="13"/>
      <c r="P193" s="20"/>
      <c r="Q193" s="4"/>
      <c r="R193" s="66"/>
      <c r="S193" s="5"/>
      <c r="T193" s="59"/>
      <c r="U193" s="62"/>
      <c r="V193" s="53"/>
      <c r="W193" s="2" t="str">
        <f t="shared" ca="1" si="46"/>
        <v/>
      </c>
      <c r="X193" s="2">
        <f t="shared" si="47"/>
        <v>0</v>
      </c>
      <c r="Y193" s="2" t="str">
        <f t="shared" ca="1" si="48"/>
        <v/>
      </c>
      <c r="Z193" s="1" t="str">
        <f t="shared" ca="1" si="49"/>
        <v/>
      </c>
      <c r="AA193" s="2" t="str">
        <f t="shared" ca="1" si="50"/>
        <v/>
      </c>
      <c r="AB193" s="2" t="str">
        <f t="shared" ca="1" si="51"/>
        <v/>
      </c>
      <c r="AC193" s="1" t="str">
        <f t="shared" ca="1" si="52"/>
        <v/>
      </c>
      <c r="AD193" t="str">
        <f t="shared" si="53"/>
        <v/>
      </c>
    </row>
    <row r="194" spans="1:30" s="2" customFormat="1">
      <c r="A194" s="30" t="str">
        <f t="shared" si="45"/>
        <v/>
      </c>
      <c r="B194" s="14"/>
      <c r="C194" s="4"/>
      <c r="D194" s="4"/>
      <c r="E194" s="4"/>
      <c r="F194" s="4"/>
      <c r="G194" s="4"/>
      <c r="H194" s="15"/>
      <c r="I194" s="14"/>
      <c r="J194" s="4"/>
      <c r="K194" s="4"/>
      <c r="L194" s="4"/>
      <c r="M194" s="4"/>
      <c r="N194" s="4"/>
      <c r="O194" s="13"/>
      <c r="P194" s="20"/>
      <c r="Q194" s="4"/>
      <c r="R194" s="66"/>
      <c r="S194" s="5"/>
      <c r="T194" s="59"/>
      <c r="U194" s="62"/>
      <c r="V194" s="53"/>
      <c r="W194" s="2" t="str">
        <f t="shared" ca="1" si="46"/>
        <v/>
      </c>
      <c r="X194" s="2">
        <f t="shared" si="47"/>
        <v>0</v>
      </c>
      <c r="Y194" s="2" t="str">
        <f t="shared" ca="1" si="48"/>
        <v/>
      </c>
      <c r="Z194" s="1" t="str">
        <f t="shared" ca="1" si="49"/>
        <v/>
      </c>
      <c r="AA194" s="2" t="str">
        <f t="shared" ca="1" si="50"/>
        <v/>
      </c>
      <c r="AB194" s="2" t="str">
        <f t="shared" ca="1" si="51"/>
        <v/>
      </c>
      <c r="AC194" s="1" t="str">
        <f t="shared" ca="1" si="52"/>
        <v/>
      </c>
      <c r="AD194" t="str">
        <f t="shared" si="53"/>
        <v/>
      </c>
    </row>
    <row r="195" spans="1:30" s="2" customFormat="1">
      <c r="A195" s="30" t="str">
        <f t="shared" si="45"/>
        <v/>
      </c>
      <c r="B195" s="14"/>
      <c r="C195" s="4"/>
      <c r="D195" s="4"/>
      <c r="E195" s="4"/>
      <c r="F195" s="4"/>
      <c r="G195" s="4"/>
      <c r="H195" s="15"/>
      <c r="I195" s="14"/>
      <c r="J195" s="4"/>
      <c r="K195" s="4"/>
      <c r="L195" s="4"/>
      <c r="M195" s="4"/>
      <c r="N195" s="4"/>
      <c r="O195" s="13"/>
      <c r="P195" s="20"/>
      <c r="Q195" s="4"/>
      <c r="R195" s="66"/>
      <c r="S195" s="5"/>
      <c r="T195" s="59"/>
      <c r="U195" s="62"/>
      <c r="V195" s="53"/>
      <c r="W195" s="2" t="str">
        <f t="shared" ca="1" si="46"/>
        <v/>
      </c>
      <c r="X195" s="2">
        <f t="shared" si="47"/>
        <v>0</v>
      </c>
      <c r="Y195" s="2" t="str">
        <f t="shared" ca="1" si="48"/>
        <v/>
      </c>
      <c r="Z195" s="1" t="str">
        <f t="shared" ca="1" si="49"/>
        <v/>
      </c>
      <c r="AA195" s="2" t="str">
        <f t="shared" ca="1" si="50"/>
        <v/>
      </c>
      <c r="AB195" s="2" t="str">
        <f t="shared" ca="1" si="51"/>
        <v/>
      </c>
      <c r="AC195" s="1" t="str">
        <f t="shared" ca="1" si="52"/>
        <v/>
      </c>
      <c r="AD195" t="str">
        <f t="shared" si="53"/>
        <v/>
      </c>
    </row>
    <row r="196" spans="1:30" s="2" customFormat="1">
      <c r="A196" s="30" t="str">
        <f t="shared" si="45"/>
        <v/>
      </c>
      <c r="B196" s="14"/>
      <c r="C196" s="4"/>
      <c r="D196" s="4"/>
      <c r="E196" s="4"/>
      <c r="F196" s="4"/>
      <c r="G196" s="4"/>
      <c r="H196" s="15"/>
      <c r="I196" s="14"/>
      <c r="J196" s="4"/>
      <c r="K196" s="4"/>
      <c r="L196" s="4"/>
      <c r="M196" s="4"/>
      <c r="N196" s="4"/>
      <c r="O196" s="13"/>
      <c r="P196" s="20"/>
      <c r="Q196" s="4"/>
      <c r="R196" s="66"/>
      <c r="S196" s="5"/>
      <c r="T196" s="59"/>
      <c r="U196" s="62"/>
      <c r="V196" s="53"/>
      <c r="W196" s="2" t="str">
        <f t="shared" ca="1" si="46"/>
        <v/>
      </c>
      <c r="X196" s="2">
        <f t="shared" si="47"/>
        <v>0</v>
      </c>
      <c r="Y196" s="2" t="str">
        <f t="shared" ca="1" si="48"/>
        <v/>
      </c>
      <c r="Z196" s="1" t="str">
        <f t="shared" ca="1" si="49"/>
        <v/>
      </c>
      <c r="AA196" s="2" t="str">
        <f t="shared" ca="1" si="50"/>
        <v/>
      </c>
      <c r="AB196" s="2" t="str">
        <f t="shared" ca="1" si="51"/>
        <v/>
      </c>
      <c r="AC196" s="1" t="str">
        <f t="shared" ca="1" si="52"/>
        <v/>
      </c>
      <c r="AD196" t="str">
        <f t="shared" si="53"/>
        <v/>
      </c>
    </row>
    <row r="197" spans="1:30" s="2" customFormat="1">
      <c r="A197" s="30" t="str">
        <f t="shared" ref="A197:A204" si="54">IF(NOT(COUNTA(B197:H197)),"",ROW()-4)</f>
        <v/>
      </c>
      <c r="B197" s="14"/>
      <c r="C197" s="4"/>
      <c r="D197" s="4"/>
      <c r="E197" s="4"/>
      <c r="F197" s="4"/>
      <c r="G197" s="4"/>
      <c r="H197" s="15"/>
      <c r="I197" s="14"/>
      <c r="J197" s="4"/>
      <c r="K197" s="4"/>
      <c r="L197" s="4"/>
      <c r="M197" s="4"/>
      <c r="N197" s="4"/>
      <c r="O197" s="13"/>
      <c r="P197" s="20"/>
      <c r="Q197" s="4"/>
      <c r="R197" s="66"/>
      <c r="S197" s="5"/>
      <c r="T197" s="59"/>
      <c r="U197" s="62"/>
      <c r="V197" s="53"/>
      <c r="W197" s="2" t="str">
        <f t="shared" ref="W197:W204" ca="1" si="55">IF(ISNA(VLOOKUP(P197,內容物Mapping,2,FALSE)),"",VLOOKUP(P197,內容物Mapping,2,FALSE))</f>
        <v/>
      </c>
      <c r="X197" s="2">
        <f t="shared" si="47"/>
        <v>0</v>
      </c>
      <c r="Y197" s="2" t="str">
        <f t="shared" ref="Y197:Y204" ca="1" si="56">IF(ISNA(VLOOKUP(V197,未寄達處理方式Mapping,2,FALSE)),"",VLOOKUP(V197,未寄達處理方式Mapping,2,FALSE))</f>
        <v/>
      </c>
      <c r="Z197" s="1" t="str">
        <f t="shared" ref="Z197:Z204" ca="1" si="57">IF(ISNA(VLOOKUP(D197,地址類別Mapping,2,FALSE)),"",VLOOKUP(D197,地址類別Mapping,2,FALSE))</f>
        <v/>
      </c>
      <c r="AA197" s="2" t="str">
        <f t="shared" ref="AA197:AA204" ca="1" si="58">IF(ISNA(VLOOKUP(E197&amp;"-"&amp;F197,郵遞區號,2,FALSE)),"",VLOOKUP(E197&amp;"-"&amp;F197,郵遞區號,2,FALSE))</f>
        <v/>
      </c>
      <c r="AB197" s="2" t="str">
        <f t="shared" ref="AB197:AB204" ca="1" si="59">IF(ISNA(VLOOKUP(L197&amp;"-"&amp;M197,郵遞區號,2,FALSE)),"",VLOOKUP(L197&amp;"-"&amp;M197,郵遞區號,2,FALSE))</f>
        <v/>
      </c>
      <c r="AC197" s="1" t="str">
        <f t="shared" ref="AC197:AC204" ca="1" si="60">IF(ISNA(VLOOKUP(S197,箱袋種類Mapping,2,FALSE)),"",VLOOKUP(S197,箱袋種類Mapping,2,FALSE))</f>
        <v/>
      </c>
      <c r="AD197" t="str">
        <f t="shared" si="53"/>
        <v/>
      </c>
    </row>
    <row r="198" spans="1:30" s="2" customFormat="1">
      <c r="A198" s="30" t="str">
        <f t="shared" si="54"/>
        <v/>
      </c>
      <c r="B198" s="14"/>
      <c r="C198" s="4"/>
      <c r="D198" s="4"/>
      <c r="E198" s="4"/>
      <c r="F198" s="4"/>
      <c r="G198" s="4"/>
      <c r="H198" s="15"/>
      <c r="I198" s="14"/>
      <c r="J198" s="4"/>
      <c r="K198" s="4"/>
      <c r="L198" s="4"/>
      <c r="M198" s="4"/>
      <c r="N198" s="4"/>
      <c r="O198" s="13"/>
      <c r="P198" s="20"/>
      <c r="Q198" s="4"/>
      <c r="R198" s="66"/>
      <c r="S198" s="5"/>
      <c r="T198" s="59"/>
      <c r="U198" s="62"/>
      <c r="V198" s="53"/>
      <c r="W198" s="2" t="str">
        <f t="shared" ca="1" si="55"/>
        <v/>
      </c>
      <c r="X198" s="2">
        <f t="shared" ref="X198:X204" si="61">IF(P198="其他",TRIM(Q198),P198)</f>
        <v>0</v>
      </c>
      <c r="Y198" s="2" t="str">
        <f t="shared" ca="1" si="56"/>
        <v/>
      </c>
      <c r="Z198" s="1" t="str">
        <f t="shared" ca="1" si="57"/>
        <v/>
      </c>
      <c r="AA198" s="2" t="str">
        <f t="shared" ca="1" si="58"/>
        <v/>
      </c>
      <c r="AB198" s="2" t="str">
        <f t="shared" ca="1" si="59"/>
        <v/>
      </c>
      <c r="AC198" s="1" t="str">
        <f t="shared" ca="1" si="60"/>
        <v/>
      </c>
      <c r="AD198" t="str">
        <f t="shared" ref="AD198:AD204" si="62">IF(TRIM(B198)&lt;&gt;"","202","")</f>
        <v/>
      </c>
    </row>
    <row r="199" spans="1:30" s="2" customFormat="1">
      <c r="A199" s="30" t="str">
        <f t="shared" si="54"/>
        <v/>
      </c>
      <c r="B199" s="14"/>
      <c r="C199" s="4"/>
      <c r="D199" s="4"/>
      <c r="E199" s="4"/>
      <c r="F199" s="4"/>
      <c r="G199" s="4"/>
      <c r="H199" s="15"/>
      <c r="I199" s="14"/>
      <c r="J199" s="4"/>
      <c r="K199" s="4"/>
      <c r="L199" s="4"/>
      <c r="M199" s="4"/>
      <c r="N199" s="4"/>
      <c r="O199" s="13"/>
      <c r="P199" s="20"/>
      <c r="Q199" s="4"/>
      <c r="R199" s="66"/>
      <c r="S199" s="5"/>
      <c r="T199" s="59"/>
      <c r="U199" s="62"/>
      <c r="V199" s="53"/>
      <c r="W199" s="2" t="str">
        <f t="shared" ca="1" si="55"/>
        <v/>
      </c>
      <c r="X199" s="2">
        <f t="shared" si="61"/>
        <v>0</v>
      </c>
      <c r="Y199" s="2" t="str">
        <f t="shared" ca="1" si="56"/>
        <v/>
      </c>
      <c r="Z199" s="1" t="str">
        <f t="shared" ca="1" si="57"/>
        <v/>
      </c>
      <c r="AA199" s="2" t="str">
        <f t="shared" ca="1" si="58"/>
        <v/>
      </c>
      <c r="AB199" s="2" t="str">
        <f t="shared" ca="1" si="59"/>
        <v/>
      </c>
      <c r="AC199" s="1" t="str">
        <f t="shared" ca="1" si="60"/>
        <v/>
      </c>
      <c r="AD199" t="str">
        <f t="shared" si="62"/>
        <v/>
      </c>
    </row>
    <row r="200" spans="1:30" s="2" customFormat="1">
      <c r="A200" s="30" t="str">
        <f t="shared" si="54"/>
        <v/>
      </c>
      <c r="B200" s="14"/>
      <c r="C200" s="4"/>
      <c r="D200" s="4"/>
      <c r="E200" s="4"/>
      <c r="F200" s="4"/>
      <c r="G200" s="4"/>
      <c r="H200" s="15"/>
      <c r="I200" s="14"/>
      <c r="J200" s="4"/>
      <c r="K200" s="4"/>
      <c r="L200" s="4"/>
      <c r="M200" s="4"/>
      <c r="N200" s="4"/>
      <c r="O200" s="13"/>
      <c r="P200" s="20"/>
      <c r="Q200" s="4"/>
      <c r="R200" s="66"/>
      <c r="S200" s="5"/>
      <c r="T200" s="59"/>
      <c r="U200" s="62"/>
      <c r="V200" s="53"/>
      <c r="W200" s="2" t="str">
        <f t="shared" ca="1" si="55"/>
        <v/>
      </c>
      <c r="X200" s="2">
        <f t="shared" si="61"/>
        <v>0</v>
      </c>
      <c r="Y200" s="2" t="str">
        <f t="shared" ca="1" si="56"/>
        <v/>
      </c>
      <c r="Z200" s="1" t="str">
        <f t="shared" ca="1" si="57"/>
        <v/>
      </c>
      <c r="AA200" s="2" t="str">
        <f t="shared" ca="1" si="58"/>
        <v/>
      </c>
      <c r="AB200" s="2" t="str">
        <f t="shared" ca="1" si="59"/>
        <v/>
      </c>
      <c r="AC200" s="1" t="str">
        <f t="shared" ca="1" si="60"/>
        <v/>
      </c>
      <c r="AD200" t="str">
        <f t="shared" si="62"/>
        <v/>
      </c>
    </row>
    <row r="201" spans="1:30" s="2" customFormat="1">
      <c r="A201" s="30" t="str">
        <f t="shared" si="54"/>
        <v/>
      </c>
      <c r="B201" s="14"/>
      <c r="C201" s="4"/>
      <c r="D201" s="4"/>
      <c r="E201" s="4"/>
      <c r="F201" s="4"/>
      <c r="G201" s="4"/>
      <c r="H201" s="15"/>
      <c r="I201" s="14"/>
      <c r="J201" s="4"/>
      <c r="K201" s="4"/>
      <c r="L201" s="4"/>
      <c r="M201" s="4"/>
      <c r="N201" s="4"/>
      <c r="O201" s="13"/>
      <c r="P201" s="20"/>
      <c r="Q201" s="4"/>
      <c r="R201" s="66"/>
      <c r="S201" s="5"/>
      <c r="T201" s="59"/>
      <c r="U201" s="62"/>
      <c r="V201" s="53"/>
      <c r="W201" s="2" t="str">
        <f t="shared" ca="1" si="55"/>
        <v/>
      </c>
      <c r="X201" s="2">
        <f t="shared" si="61"/>
        <v>0</v>
      </c>
      <c r="Y201" s="2" t="str">
        <f t="shared" ca="1" si="56"/>
        <v/>
      </c>
      <c r="Z201" s="1" t="str">
        <f t="shared" ca="1" si="57"/>
        <v/>
      </c>
      <c r="AA201" s="2" t="str">
        <f t="shared" ca="1" si="58"/>
        <v/>
      </c>
      <c r="AB201" s="2" t="str">
        <f t="shared" ca="1" si="59"/>
        <v/>
      </c>
      <c r="AC201" s="1" t="str">
        <f t="shared" ca="1" si="60"/>
        <v/>
      </c>
      <c r="AD201" t="str">
        <f t="shared" si="62"/>
        <v/>
      </c>
    </row>
    <row r="202" spans="1:30" s="2" customFormat="1">
      <c r="A202" s="30" t="str">
        <f t="shared" si="54"/>
        <v/>
      </c>
      <c r="B202" s="14"/>
      <c r="C202" s="4"/>
      <c r="D202" s="4"/>
      <c r="E202" s="4"/>
      <c r="F202" s="4"/>
      <c r="G202" s="4"/>
      <c r="H202" s="15"/>
      <c r="I202" s="14"/>
      <c r="J202" s="4"/>
      <c r="K202" s="4"/>
      <c r="L202" s="4"/>
      <c r="M202" s="4"/>
      <c r="N202" s="4"/>
      <c r="O202" s="13"/>
      <c r="P202" s="20"/>
      <c r="Q202" s="4"/>
      <c r="R202" s="66"/>
      <c r="S202" s="5"/>
      <c r="T202" s="59"/>
      <c r="U202" s="62"/>
      <c r="V202" s="53"/>
      <c r="W202" s="2" t="str">
        <f t="shared" ca="1" si="55"/>
        <v/>
      </c>
      <c r="X202" s="2">
        <f t="shared" si="61"/>
        <v>0</v>
      </c>
      <c r="Y202" s="2" t="str">
        <f t="shared" ca="1" si="56"/>
        <v/>
      </c>
      <c r="Z202" s="1" t="str">
        <f t="shared" ca="1" si="57"/>
        <v/>
      </c>
      <c r="AA202" s="2" t="str">
        <f t="shared" ca="1" si="58"/>
        <v/>
      </c>
      <c r="AB202" s="2" t="str">
        <f t="shared" ca="1" si="59"/>
        <v/>
      </c>
      <c r="AC202" s="1" t="str">
        <f t="shared" ca="1" si="60"/>
        <v/>
      </c>
      <c r="AD202" t="str">
        <f t="shared" si="62"/>
        <v/>
      </c>
    </row>
    <row r="203" spans="1:30" s="2" customFormat="1">
      <c r="A203" s="30" t="str">
        <f t="shared" si="54"/>
        <v/>
      </c>
      <c r="B203" s="14"/>
      <c r="C203" s="4"/>
      <c r="D203" s="4"/>
      <c r="E203" s="4"/>
      <c r="F203" s="4"/>
      <c r="G203" s="4"/>
      <c r="H203" s="15"/>
      <c r="I203" s="14"/>
      <c r="J203" s="4"/>
      <c r="K203" s="4"/>
      <c r="L203" s="4"/>
      <c r="M203" s="4"/>
      <c r="N203" s="4"/>
      <c r="O203" s="13"/>
      <c r="P203" s="20"/>
      <c r="Q203" s="4"/>
      <c r="R203" s="66"/>
      <c r="S203" s="5"/>
      <c r="T203" s="59"/>
      <c r="U203" s="62"/>
      <c r="V203" s="53"/>
      <c r="W203" s="2" t="str">
        <f t="shared" ca="1" si="55"/>
        <v/>
      </c>
      <c r="X203" s="2">
        <f t="shared" si="61"/>
        <v>0</v>
      </c>
      <c r="Y203" s="2" t="str">
        <f t="shared" ca="1" si="56"/>
        <v/>
      </c>
      <c r="Z203" s="1" t="str">
        <f t="shared" ca="1" si="57"/>
        <v/>
      </c>
      <c r="AA203" s="2" t="str">
        <f t="shared" ca="1" si="58"/>
        <v/>
      </c>
      <c r="AB203" s="2" t="str">
        <f t="shared" ca="1" si="59"/>
        <v/>
      </c>
      <c r="AC203" s="1" t="str">
        <f t="shared" ca="1" si="60"/>
        <v/>
      </c>
      <c r="AD203" t="str">
        <f t="shared" si="62"/>
        <v/>
      </c>
    </row>
    <row r="204" spans="1:30" s="2" customFormat="1" ht="17.25" thickBot="1">
      <c r="A204" s="38" t="str">
        <f t="shared" si="54"/>
        <v/>
      </c>
      <c r="B204" s="16"/>
      <c r="C204" s="17"/>
      <c r="D204" s="17"/>
      <c r="E204" s="17"/>
      <c r="F204" s="17"/>
      <c r="G204" s="17"/>
      <c r="H204" s="18"/>
      <c r="I204" s="16"/>
      <c r="J204" s="17"/>
      <c r="K204" s="17"/>
      <c r="L204" s="17"/>
      <c r="M204" s="17"/>
      <c r="N204" s="17"/>
      <c r="O204" s="31"/>
      <c r="P204" s="55"/>
      <c r="Q204" s="17"/>
      <c r="R204" s="67"/>
      <c r="S204" s="32"/>
      <c r="T204" s="60"/>
      <c r="U204" s="64"/>
      <c r="V204" s="54"/>
      <c r="W204" s="2" t="str">
        <f t="shared" ca="1" si="55"/>
        <v/>
      </c>
      <c r="X204" s="2">
        <f t="shared" si="61"/>
        <v>0</v>
      </c>
      <c r="Y204" s="2" t="str">
        <f t="shared" ca="1" si="56"/>
        <v/>
      </c>
      <c r="Z204" s="1" t="str">
        <f t="shared" ca="1" si="57"/>
        <v/>
      </c>
      <c r="AA204" s="2" t="str">
        <f t="shared" ca="1" si="58"/>
        <v/>
      </c>
      <c r="AB204" s="2" t="str">
        <f t="shared" ca="1" si="59"/>
        <v/>
      </c>
      <c r="AC204" s="1" t="str">
        <f t="shared" ca="1" si="60"/>
        <v/>
      </c>
      <c r="AD204" t="str">
        <f t="shared" si="62"/>
        <v/>
      </c>
    </row>
    <row r="205" spans="1:30"/>
    <row r="206" spans="1:30"/>
  </sheetData>
  <sheetProtection algorithmName="SHA-512" hashValue="LKi/C9fuQQWaDls+kXpMrxVd5VE2rhaUI4snBA6SAd+eP2eKsxF04lMPkw2m40+/mXa1IktOnCFifTiMFMJuUw==" saltValue="s3vEHPqFWXcsHigsjzhJ8g==" spinCount="100000" sheet="1" objects="1" scenarios="1"/>
  <mergeCells count="1">
    <mergeCell ref="A2:Y2"/>
  </mergeCells>
  <phoneticPr fontId="2" type="noConversion"/>
  <dataValidations count="8">
    <dataValidation type="list" allowBlank="1" showInputMessage="1" showErrorMessage="1" sqref="E5:E204 L5:L204" xr:uid="{C6DD6A3B-E66A-4566-AA38-B3D2E0F5BABC}">
      <formula1>縣市</formula1>
    </dataValidation>
    <dataValidation type="list" allowBlank="1" showInputMessage="1" showErrorMessage="1" sqref="F5:F204" xr:uid="{D912BBFE-7AA7-4C7C-BD84-C57394FB6F80}">
      <formula1>INDIRECT($E5)</formula1>
    </dataValidation>
    <dataValidation type="whole" allowBlank="1" showInputMessage="1" showErrorMessage="1" sqref="U5:U204" xr:uid="{66CE9732-A697-4C76-B7DD-96F311633115}">
      <formula1>0</formula1>
      <formula2>50000</formula2>
    </dataValidation>
    <dataValidation type="list" allowBlank="1" showInputMessage="1" showErrorMessage="1" sqref="D5:D204" xr:uid="{8B4A8E33-A156-4187-BF59-7D6D3671B80F}">
      <formula1>地址類別</formula1>
    </dataValidation>
    <dataValidation type="list" allowBlank="1" showInputMessage="1" showErrorMessage="1" sqref="M5:M204" xr:uid="{A2E3199F-ECDB-4BC0-AE83-80F24952A2DA}">
      <formula1>INDIRECT($L5)</formula1>
    </dataValidation>
    <dataValidation type="list" allowBlank="1" showInputMessage="1" showErrorMessage="1" sqref="S5:S204" xr:uid="{83CB9D2D-E3A1-41C4-AEFC-E7770BD12723}">
      <formula1>箱袋種類</formula1>
    </dataValidation>
    <dataValidation type="list" allowBlank="1" showInputMessage="1" showErrorMessage="1" sqref="V5:V204" xr:uid="{C79E7212-C410-4386-B7F8-14DE27347FD4}">
      <formula1>未送達處理方式</formula1>
    </dataValidation>
    <dataValidation type="list" allowBlank="1" showInputMessage="1" showErrorMessage="1" sqref="P5:P204" xr:uid="{9829EAC5-5105-428B-8F47-04339E1187C0}">
      <formula1>內容物</formula1>
    </dataValidation>
  </dataValidations>
  <pageMargins left="0.70866141732283472" right="0.70866141732283472" top="0.74803149606299213" bottom="0.74803149606299213" header="0.31496062992125984" footer="0.31496062992125984"/>
  <pageSetup paperSize="9" scale="45" fitToHeight="1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348B-C225-4636-9BBA-6F35782D67A2}">
  <sheetPr>
    <pageSetUpPr fitToPage="1"/>
  </sheetPr>
  <dimension ref="A1:AD206"/>
  <sheetViews>
    <sheetView zoomScale="85" zoomScaleNormal="85" workbookViewId="0">
      <pane ySplit="4" topLeftCell="A5" activePane="bottomLeft" state="frozen"/>
      <selection activeCell="A2" sqref="A2"/>
      <selection pane="bottomLeft" activeCell="D30" sqref="D30"/>
    </sheetView>
  </sheetViews>
  <sheetFormatPr defaultColWidth="9" defaultRowHeight="16.5" zeroHeight="1"/>
  <cols>
    <col min="1" max="1" width="5.5" customWidth="1"/>
    <col min="2" max="2" width="13.125" customWidth="1"/>
    <col min="3" max="3" width="12.625" customWidth="1"/>
    <col min="4" max="4" width="9.875" customWidth="1"/>
    <col min="5" max="5" width="9.375" style="77" customWidth="1"/>
    <col min="6" max="6" width="9.5" style="77" customWidth="1"/>
    <col min="7" max="7" width="13.125" style="77" customWidth="1"/>
    <col min="8" max="8" width="21.375" style="77" customWidth="1"/>
    <col min="9" max="9" width="16.125" customWidth="1"/>
    <col min="10" max="10" width="11.625" customWidth="1"/>
    <col min="11" max="11" width="10.5" customWidth="1"/>
    <col min="12" max="12" width="11.125" style="77" customWidth="1"/>
    <col min="13" max="13" width="9.5" style="77" customWidth="1"/>
    <col min="14" max="14" width="17.875" style="77" customWidth="1"/>
    <col min="15" max="15" width="18.125" customWidth="1"/>
    <col min="16" max="16" width="9" customWidth="1"/>
    <col min="17" max="17" width="9.125" style="36" customWidth="1"/>
    <col min="18" max="18" width="7.125" customWidth="1"/>
    <col min="19" max="19" width="23" customWidth="1"/>
    <col min="20" max="20" width="8.875" customWidth="1"/>
    <col min="21" max="21" width="9.125" customWidth="1"/>
    <col min="22" max="22" width="25.125" customWidth="1"/>
    <col min="23" max="25" width="25.125" hidden="1" customWidth="1"/>
    <col min="26" max="26" width="16.125" hidden="1" customWidth="1"/>
    <col min="27" max="27" width="22.125" hidden="1" customWidth="1"/>
    <col min="28" max="29" width="9" hidden="1" customWidth="1"/>
    <col min="30" max="30" width="7.375" hidden="1" customWidth="1"/>
  </cols>
  <sheetData>
    <row r="1" spans="1:30" s="2" customFormat="1" ht="45.95" hidden="1" customHeight="1" thickBot="1">
      <c r="A1" s="39" t="s">
        <v>7</v>
      </c>
      <c r="B1" s="40" t="s">
        <v>408</v>
      </c>
      <c r="C1" s="40" t="s">
        <v>889</v>
      </c>
      <c r="D1" s="40" t="s">
        <v>888</v>
      </c>
      <c r="E1" s="81" t="s">
        <v>797</v>
      </c>
      <c r="F1" s="82"/>
      <c r="G1" s="82"/>
      <c r="H1" s="83"/>
      <c r="I1" s="40" t="s">
        <v>824</v>
      </c>
      <c r="J1" s="40" t="s">
        <v>825</v>
      </c>
      <c r="K1" s="40" t="s">
        <v>833</v>
      </c>
      <c r="L1" s="81" t="s">
        <v>828</v>
      </c>
      <c r="M1" s="82"/>
      <c r="N1" s="83"/>
      <c r="O1" s="40" t="s">
        <v>829</v>
      </c>
      <c r="P1" s="41" t="s">
        <v>894</v>
      </c>
      <c r="Q1" s="42" t="s">
        <v>893</v>
      </c>
      <c r="R1" s="40" t="s">
        <v>891</v>
      </c>
      <c r="S1" s="45" t="s">
        <v>819</v>
      </c>
      <c r="T1" s="2" t="s">
        <v>892</v>
      </c>
      <c r="U1" s="40" t="s">
        <v>890</v>
      </c>
      <c r="V1" s="2" t="s">
        <v>895</v>
      </c>
      <c r="W1" s="1" t="s">
        <v>898</v>
      </c>
      <c r="X1" s="1" t="s">
        <v>899</v>
      </c>
      <c r="Y1" s="2" t="s">
        <v>900</v>
      </c>
      <c r="Z1" s="45" t="s">
        <v>411</v>
      </c>
      <c r="AA1" s="45" t="s">
        <v>796</v>
      </c>
      <c r="AB1" s="2" t="s">
        <v>795</v>
      </c>
      <c r="AC1" s="2" t="s">
        <v>820</v>
      </c>
      <c r="AD1" s="2" t="s">
        <v>919</v>
      </c>
    </row>
    <row r="2" spans="1:30" s="2" customFormat="1" ht="144.94999999999999" customHeight="1" thickBot="1">
      <c r="A2" s="78" t="s">
        <v>917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80"/>
      <c r="Z2" s="57"/>
      <c r="AA2" s="57"/>
      <c r="AB2" s="57"/>
      <c r="AC2" s="1"/>
    </row>
    <row r="3" spans="1:30" s="2" customFormat="1" ht="11.25" customHeight="1" thickBot="1">
      <c r="A3" s="33"/>
      <c r="B3" s="33"/>
      <c r="C3" s="33"/>
      <c r="D3" s="33"/>
      <c r="E3" s="76"/>
      <c r="F3" s="76"/>
      <c r="G3" s="76"/>
      <c r="H3" s="76"/>
      <c r="I3" s="33"/>
      <c r="J3" s="33"/>
      <c r="K3" s="33"/>
      <c r="L3" s="76"/>
      <c r="M3" s="76"/>
      <c r="N3" s="76"/>
      <c r="O3" s="6"/>
      <c r="P3" s="6"/>
      <c r="Q3" s="36"/>
      <c r="R3" s="37"/>
      <c r="S3" s="6"/>
      <c r="T3" s="6"/>
      <c r="U3"/>
      <c r="V3"/>
      <c r="W3"/>
      <c r="X3"/>
      <c r="Y3"/>
      <c r="Z3" s="1"/>
    </row>
    <row r="4" spans="1:30" s="3" customFormat="1" ht="70.5" customHeight="1" thickBot="1">
      <c r="A4" s="24" t="s">
        <v>5</v>
      </c>
      <c r="B4" s="25" t="s">
        <v>6</v>
      </c>
      <c r="C4" s="26" t="s">
        <v>14</v>
      </c>
      <c r="D4" s="34" t="s">
        <v>875</v>
      </c>
      <c r="E4" s="87" t="s">
        <v>915</v>
      </c>
      <c r="F4" s="88"/>
      <c r="G4" s="88"/>
      <c r="H4" s="99"/>
      <c r="I4" s="28" t="s">
        <v>887</v>
      </c>
      <c r="J4" s="26" t="s">
        <v>874</v>
      </c>
      <c r="K4" s="26" t="s">
        <v>885</v>
      </c>
      <c r="L4" s="87" t="s">
        <v>916</v>
      </c>
      <c r="M4" s="88"/>
      <c r="N4" s="89"/>
      <c r="O4" s="46" t="s">
        <v>835</v>
      </c>
      <c r="P4" s="56" t="s">
        <v>872</v>
      </c>
      <c r="Q4" s="29" t="s">
        <v>873</v>
      </c>
      <c r="R4" s="47" t="s">
        <v>1</v>
      </c>
      <c r="S4" s="35" t="s">
        <v>871</v>
      </c>
      <c r="T4" s="47" t="s">
        <v>886</v>
      </c>
      <c r="U4" s="46" t="s">
        <v>834</v>
      </c>
      <c r="V4" s="51" t="s">
        <v>416</v>
      </c>
      <c r="W4" s="9" t="s">
        <v>896</v>
      </c>
      <c r="X4" s="9" t="s">
        <v>897</v>
      </c>
      <c r="Y4" s="9" t="s">
        <v>416</v>
      </c>
      <c r="Z4" s="9" t="s">
        <v>417</v>
      </c>
      <c r="AA4" s="10" t="s">
        <v>418</v>
      </c>
      <c r="AB4" s="10" t="s">
        <v>419</v>
      </c>
      <c r="AC4" s="11" t="s">
        <v>803</v>
      </c>
      <c r="AD4" s="51" t="s">
        <v>804</v>
      </c>
    </row>
    <row r="5" spans="1:30" s="2" customFormat="1">
      <c r="A5" s="30" t="str">
        <f t="shared" ref="A5:A68" si="0">IF(NOT(COUNTA(B5:H5)),"",ROW()-4)</f>
        <v/>
      </c>
      <c r="B5" s="20"/>
      <c r="C5" s="21"/>
      <c r="D5" s="21"/>
      <c r="E5" s="96"/>
      <c r="F5" s="97"/>
      <c r="G5" s="97"/>
      <c r="H5" s="98"/>
      <c r="I5" s="20"/>
      <c r="J5" s="20"/>
      <c r="K5" s="21"/>
      <c r="L5" s="100"/>
      <c r="M5" s="101"/>
      <c r="N5" s="102"/>
      <c r="O5" s="19"/>
      <c r="P5" s="20"/>
      <c r="Q5" s="21"/>
      <c r="R5" s="65"/>
      <c r="S5" s="23"/>
      <c r="T5" s="58"/>
      <c r="U5" s="61"/>
      <c r="V5" s="52"/>
      <c r="W5" s="2" t="str">
        <f t="shared" ref="W5:W36" ca="1" si="1">IF(ISNA(VLOOKUP(P5,內容物Mapping,2,FALSE)),"",VLOOKUP(P5,內容物Mapping,2,FALSE))</f>
        <v/>
      </c>
      <c r="X5" s="2">
        <f t="shared" ref="X5:X36" si="2">IF(P5="其他",TRIM(Q5),P5)</f>
        <v>0</v>
      </c>
      <c r="Y5" s="2" t="str">
        <f t="shared" ref="Y5:Y68" ca="1" si="3">IF(ISNA(VLOOKUP(V5,未寄達處理方式Mapping,2,FALSE)),"",VLOOKUP(V5,未寄達處理方式Mapping,2,FALSE))</f>
        <v/>
      </c>
      <c r="Z5" s="1" t="str">
        <f t="shared" ref="Z5:Z36" ca="1" si="4">IF(ISNA(VLOOKUP(D5,地址類別Mapping,2,FALSE)),"",VLOOKUP(D5,地址類別Mapping,2,FALSE))</f>
        <v/>
      </c>
      <c r="AA5" s="2" t="str">
        <f t="shared" ref="AA5:AA36" ca="1" si="5">IF(ISNA(VLOOKUP(E5&amp;"-"&amp;F5,郵遞區號,2,FALSE)),"",VLOOKUP(E5&amp;"-"&amp;F5,郵遞區號,2,FALSE))</f>
        <v/>
      </c>
      <c r="AB5" s="2" t="e">
        <f ca="1">IF(ISNA(VLOOKUP(#REF!&amp;"-"&amp;#REF!,郵遞區號,2,FALSE)),"",VLOOKUP(#REF!&amp;"-"&amp;#REF!,郵遞區號,2,FALSE))</f>
        <v>#REF!</v>
      </c>
      <c r="AC5" s="1" t="str">
        <f t="shared" ref="AC5:AC36" ca="1" si="6">IF(ISNA(VLOOKUP(S5,箱袋種類Mapping,2,FALSE)),"",VLOOKUP(S5,箱袋種類Mapping,2,FALSE))</f>
        <v/>
      </c>
      <c r="AD5" t="str">
        <f t="shared" ref="AD5:AD36" si="7">IF(TRIM(B5)&lt;&gt;"","202","")</f>
        <v/>
      </c>
    </row>
    <row r="6" spans="1:30" s="2" customFormat="1">
      <c r="A6" s="30" t="str">
        <f t="shared" si="0"/>
        <v/>
      </c>
      <c r="B6" s="14"/>
      <c r="C6" s="4"/>
      <c r="D6" s="4"/>
      <c r="E6" s="84"/>
      <c r="F6" s="85"/>
      <c r="G6" s="85"/>
      <c r="H6" s="103"/>
      <c r="I6" s="14"/>
      <c r="J6" s="4"/>
      <c r="K6" s="4"/>
      <c r="L6" s="84"/>
      <c r="M6" s="85"/>
      <c r="N6" s="86"/>
      <c r="O6" s="13"/>
      <c r="P6" s="20"/>
      <c r="Q6" s="4"/>
      <c r="R6" s="66"/>
      <c r="S6" s="5"/>
      <c r="T6" s="59"/>
      <c r="U6" s="62"/>
      <c r="V6" s="53"/>
      <c r="W6" s="2" t="str">
        <f t="shared" ca="1" si="1"/>
        <v/>
      </c>
      <c r="X6" s="2">
        <f t="shared" si="2"/>
        <v>0</v>
      </c>
      <c r="Y6" s="2" t="str">
        <f t="shared" ca="1" si="3"/>
        <v/>
      </c>
      <c r="Z6" s="1" t="str">
        <f t="shared" ca="1" si="4"/>
        <v/>
      </c>
      <c r="AA6" s="2" t="str">
        <f t="shared" ca="1" si="5"/>
        <v/>
      </c>
      <c r="AB6" s="2" t="str">
        <f ca="1">IF(ISNA(VLOOKUP(L5&amp;"-"&amp;M5,郵遞區號,2,FALSE)),"",VLOOKUP(L5&amp;"-"&amp;M5,郵遞區號,2,FALSE))</f>
        <v/>
      </c>
      <c r="AC6" s="1" t="str">
        <f t="shared" ca="1" si="6"/>
        <v/>
      </c>
      <c r="AD6" t="str">
        <f t="shared" si="7"/>
        <v/>
      </c>
    </row>
    <row r="7" spans="1:30" s="2" customFormat="1">
      <c r="A7" s="30" t="str">
        <f t="shared" si="0"/>
        <v/>
      </c>
      <c r="B7" s="14"/>
      <c r="C7" s="4"/>
      <c r="D7" s="4"/>
      <c r="E7" s="90"/>
      <c r="F7" s="91"/>
      <c r="G7" s="91"/>
      <c r="H7" s="92"/>
      <c r="I7" s="14"/>
      <c r="J7" s="4"/>
      <c r="K7" s="4"/>
      <c r="L7" s="84"/>
      <c r="M7" s="85"/>
      <c r="N7" s="86"/>
      <c r="O7" s="13"/>
      <c r="P7" s="20"/>
      <c r="Q7" s="4"/>
      <c r="R7" s="66"/>
      <c r="S7" s="5"/>
      <c r="T7" s="59"/>
      <c r="U7" s="62"/>
      <c r="V7" s="53"/>
      <c r="W7" s="2" t="str">
        <f t="shared" ca="1" si="1"/>
        <v/>
      </c>
      <c r="X7" s="2">
        <f t="shared" si="2"/>
        <v>0</v>
      </c>
      <c r="Y7" s="2" t="str">
        <f t="shared" ca="1" si="3"/>
        <v/>
      </c>
      <c r="Z7" s="1" t="str">
        <f t="shared" ca="1" si="4"/>
        <v/>
      </c>
      <c r="AA7" s="2" t="str">
        <f t="shared" ca="1" si="5"/>
        <v/>
      </c>
      <c r="AB7" s="2" t="str">
        <f t="shared" ref="AB7:AB38" ca="1" si="8">IF(ISNA(VLOOKUP(L7&amp;"-"&amp;M7,郵遞區號,2,FALSE)),"",VLOOKUP(L7&amp;"-"&amp;M7,郵遞區號,2,FALSE))</f>
        <v/>
      </c>
      <c r="AC7" s="1" t="str">
        <f t="shared" ca="1" si="6"/>
        <v/>
      </c>
      <c r="AD7" t="str">
        <f t="shared" si="7"/>
        <v/>
      </c>
    </row>
    <row r="8" spans="1:30" s="2" customFormat="1">
      <c r="A8" s="30" t="str">
        <f t="shared" si="0"/>
        <v/>
      </c>
      <c r="B8" s="14"/>
      <c r="C8" s="4"/>
      <c r="D8" s="4"/>
      <c r="E8" s="90"/>
      <c r="F8" s="91"/>
      <c r="G8" s="91"/>
      <c r="H8" s="92"/>
      <c r="I8" s="14"/>
      <c r="J8" s="4"/>
      <c r="K8" s="4"/>
      <c r="L8" s="84"/>
      <c r="M8" s="85"/>
      <c r="N8" s="86"/>
      <c r="O8" s="13"/>
      <c r="P8" s="20"/>
      <c r="Q8" s="4"/>
      <c r="R8" s="66"/>
      <c r="S8" s="5"/>
      <c r="T8" s="59"/>
      <c r="U8" s="62"/>
      <c r="V8" s="53"/>
      <c r="W8" s="2" t="str">
        <f t="shared" ca="1" si="1"/>
        <v/>
      </c>
      <c r="X8" s="2">
        <f t="shared" si="2"/>
        <v>0</v>
      </c>
      <c r="Y8" s="2" t="str">
        <f t="shared" ca="1" si="3"/>
        <v/>
      </c>
      <c r="Z8" s="1" t="str">
        <f t="shared" ca="1" si="4"/>
        <v/>
      </c>
      <c r="AA8" s="2" t="str">
        <f t="shared" ca="1" si="5"/>
        <v/>
      </c>
      <c r="AB8" s="2" t="str">
        <f t="shared" ca="1" si="8"/>
        <v/>
      </c>
      <c r="AC8" s="1" t="str">
        <f t="shared" ca="1" si="6"/>
        <v/>
      </c>
      <c r="AD8" t="str">
        <f t="shared" si="7"/>
        <v/>
      </c>
    </row>
    <row r="9" spans="1:30" s="2" customFormat="1">
      <c r="A9" s="30" t="str">
        <f t="shared" si="0"/>
        <v/>
      </c>
      <c r="B9" s="14"/>
      <c r="C9" s="4"/>
      <c r="D9" s="4"/>
      <c r="E9" s="90"/>
      <c r="F9" s="91"/>
      <c r="G9" s="91"/>
      <c r="H9" s="92"/>
      <c r="I9" s="14"/>
      <c r="J9" s="4"/>
      <c r="K9" s="4"/>
      <c r="L9" s="84"/>
      <c r="M9" s="85"/>
      <c r="N9" s="86"/>
      <c r="O9" s="13"/>
      <c r="P9" s="20"/>
      <c r="Q9" s="4"/>
      <c r="R9" s="66"/>
      <c r="S9" s="5"/>
      <c r="T9" s="59"/>
      <c r="U9" s="62"/>
      <c r="V9" s="53"/>
      <c r="W9" s="2" t="str">
        <f t="shared" ca="1" si="1"/>
        <v/>
      </c>
      <c r="X9" s="2">
        <f t="shared" si="2"/>
        <v>0</v>
      </c>
      <c r="Y9" s="2" t="str">
        <f t="shared" ca="1" si="3"/>
        <v/>
      </c>
      <c r="Z9" s="1" t="str">
        <f t="shared" ca="1" si="4"/>
        <v/>
      </c>
      <c r="AA9" s="2" t="str">
        <f t="shared" ca="1" si="5"/>
        <v/>
      </c>
      <c r="AB9" s="2" t="str">
        <f t="shared" ca="1" si="8"/>
        <v/>
      </c>
      <c r="AC9" s="1" t="str">
        <f t="shared" ca="1" si="6"/>
        <v/>
      </c>
      <c r="AD9" t="str">
        <f t="shared" si="7"/>
        <v/>
      </c>
    </row>
    <row r="10" spans="1:30" s="2" customFormat="1">
      <c r="A10" s="30" t="str">
        <f t="shared" si="0"/>
        <v/>
      </c>
      <c r="B10" s="14"/>
      <c r="C10" s="4"/>
      <c r="D10" s="4"/>
      <c r="E10" s="90"/>
      <c r="F10" s="91"/>
      <c r="G10" s="91"/>
      <c r="H10" s="92"/>
      <c r="I10" s="14"/>
      <c r="J10" s="4"/>
      <c r="K10" s="4"/>
      <c r="L10" s="84"/>
      <c r="M10" s="85"/>
      <c r="N10" s="86"/>
      <c r="O10" s="13"/>
      <c r="P10" s="20"/>
      <c r="Q10" s="4"/>
      <c r="R10" s="66"/>
      <c r="S10" s="5"/>
      <c r="T10" s="59"/>
      <c r="U10" s="63"/>
      <c r="V10" s="53"/>
      <c r="W10" s="2" t="str">
        <f t="shared" ca="1" si="1"/>
        <v/>
      </c>
      <c r="X10" s="2">
        <f t="shared" si="2"/>
        <v>0</v>
      </c>
      <c r="Y10" s="2" t="str">
        <f t="shared" ca="1" si="3"/>
        <v/>
      </c>
      <c r="Z10" s="1" t="str">
        <f t="shared" ca="1" si="4"/>
        <v/>
      </c>
      <c r="AA10" s="2" t="str">
        <f t="shared" ca="1" si="5"/>
        <v/>
      </c>
      <c r="AB10" s="2" t="str">
        <f t="shared" ca="1" si="8"/>
        <v/>
      </c>
      <c r="AC10" s="1" t="str">
        <f t="shared" ca="1" si="6"/>
        <v/>
      </c>
      <c r="AD10" t="str">
        <f t="shared" si="7"/>
        <v/>
      </c>
    </row>
    <row r="11" spans="1:30" s="2" customFormat="1">
      <c r="A11" s="30" t="str">
        <f t="shared" si="0"/>
        <v/>
      </c>
      <c r="B11" s="14"/>
      <c r="C11" s="4"/>
      <c r="D11" s="4"/>
      <c r="E11" s="90"/>
      <c r="F11" s="91"/>
      <c r="G11" s="91"/>
      <c r="H11" s="92"/>
      <c r="I11" s="14"/>
      <c r="J11" s="4"/>
      <c r="K11" s="4"/>
      <c r="L11" s="84"/>
      <c r="M11" s="85"/>
      <c r="N11" s="86"/>
      <c r="O11" s="13"/>
      <c r="P11" s="20"/>
      <c r="Q11" s="4"/>
      <c r="R11" s="66"/>
      <c r="S11" s="5"/>
      <c r="T11" s="59"/>
      <c r="U11" s="62"/>
      <c r="V11" s="53"/>
      <c r="W11" s="2" t="str">
        <f t="shared" ca="1" si="1"/>
        <v/>
      </c>
      <c r="X11" s="2">
        <f t="shared" si="2"/>
        <v>0</v>
      </c>
      <c r="Y11" s="2" t="str">
        <f t="shared" ca="1" si="3"/>
        <v/>
      </c>
      <c r="Z11" s="1" t="str">
        <f t="shared" ca="1" si="4"/>
        <v/>
      </c>
      <c r="AA11" s="2" t="str">
        <f t="shared" ca="1" si="5"/>
        <v/>
      </c>
      <c r="AB11" s="2" t="str">
        <f t="shared" ca="1" si="8"/>
        <v/>
      </c>
      <c r="AC11" s="1" t="str">
        <f t="shared" ca="1" si="6"/>
        <v/>
      </c>
      <c r="AD11" t="str">
        <f t="shared" si="7"/>
        <v/>
      </c>
    </row>
    <row r="12" spans="1:30" s="2" customFormat="1">
      <c r="A12" s="30" t="str">
        <f t="shared" si="0"/>
        <v/>
      </c>
      <c r="B12" s="14"/>
      <c r="C12" s="4"/>
      <c r="D12" s="4"/>
      <c r="E12" s="90"/>
      <c r="F12" s="91"/>
      <c r="G12" s="91"/>
      <c r="H12" s="92"/>
      <c r="I12" s="14"/>
      <c r="J12" s="4"/>
      <c r="K12" s="4"/>
      <c r="L12" s="84"/>
      <c r="M12" s="85"/>
      <c r="N12" s="86"/>
      <c r="O12" s="13"/>
      <c r="P12" s="20"/>
      <c r="Q12" s="4"/>
      <c r="R12" s="66"/>
      <c r="S12" s="5"/>
      <c r="T12" s="59"/>
      <c r="U12" s="62"/>
      <c r="V12" s="53"/>
      <c r="W12" s="2" t="str">
        <f t="shared" ca="1" si="1"/>
        <v/>
      </c>
      <c r="X12" s="2">
        <f t="shared" si="2"/>
        <v>0</v>
      </c>
      <c r="Y12" s="2" t="str">
        <f t="shared" ca="1" si="3"/>
        <v/>
      </c>
      <c r="Z12" s="1" t="str">
        <f t="shared" ca="1" si="4"/>
        <v/>
      </c>
      <c r="AA12" s="2" t="str">
        <f t="shared" ca="1" si="5"/>
        <v/>
      </c>
      <c r="AB12" s="2" t="str">
        <f t="shared" ca="1" si="8"/>
        <v/>
      </c>
      <c r="AC12" s="1" t="str">
        <f t="shared" ca="1" si="6"/>
        <v/>
      </c>
      <c r="AD12" t="str">
        <f t="shared" si="7"/>
        <v/>
      </c>
    </row>
    <row r="13" spans="1:30" s="2" customFormat="1">
      <c r="A13" s="30" t="str">
        <f t="shared" si="0"/>
        <v/>
      </c>
      <c r="B13" s="14"/>
      <c r="C13" s="4"/>
      <c r="D13" s="4"/>
      <c r="E13" s="90"/>
      <c r="F13" s="91"/>
      <c r="G13" s="91"/>
      <c r="H13" s="92"/>
      <c r="I13" s="14"/>
      <c r="J13" s="4"/>
      <c r="K13" s="4"/>
      <c r="L13" s="84"/>
      <c r="M13" s="85"/>
      <c r="N13" s="86"/>
      <c r="O13" s="13"/>
      <c r="P13" s="20"/>
      <c r="Q13" s="4"/>
      <c r="R13" s="66"/>
      <c r="S13" s="5"/>
      <c r="T13" s="59"/>
      <c r="U13" s="62"/>
      <c r="V13" s="53"/>
      <c r="W13" s="2" t="str">
        <f t="shared" ca="1" si="1"/>
        <v/>
      </c>
      <c r="X13" s="2">
        <f t="shared" si="2"/>
        <v>0</v>
      </c>
      <c r="Y13" s="2" t="str">
        <f t="shared" ca="1" si="3"/>
        <v/>
      </c>
      <c r="Z13" s="1" t="str">
        <f t="shared" ca="1" si="4"/>
        <v/>
      </c>
      <c r="AA13" s="2" t="str">
        <f t="shared" ca="1" si="5"/>
        <v/>
      </c>
      <c r="AB13" s="2" t="str">
        <f t="shared" ca="1" si="8"/>
        <v/>
      </c>
      <c r="AC13" s="1" t="str">
        <f t="shared" ca="1" si="6"/>
        <v/>
      </c>
      <c r="AD13" t="str">
        <f t="shared" si="7"/>
        <v/>
      </c>
    </row>
    <row r="14" spans="1:30" s="2" customFormat="1">
      <c r="A14" s="30" t="str">
        <f t="shared" si="0"/>
        <v/>
      </c>
      <c r="B14" s="14"/>
      <c r="C14" s="4"/>
      <c r="D14" s="4"/>
      <c r="E14" s="90"/>
      <c r="F14" s="91"/>
      <c r="G14" s="91"/>
      <c r="H14" s="92"/>
      <c r="I14" s="14"/>
      <c r="J14" s="4"/>
      <c r="K14" s="4"/>
      <c r="L14" s="84"/>
      <c r="M14" s="85"/>
      <c r="N14" s="86"/>
      <c r="O14" s="13"/>
      <c r="P14" s="20"/>
      <c r="Q14" s="4"/>
      <c r="R14" s="66"/>
      <c r="S14" s="5"/>
      <c r="T14" s="59"/>
      <c r="U14" s="62"/>
      <c r="V14" s="53"/>
      <c r="W14" s="2" t="str">
        <f t="shared" ca="1" si="1"/>
        <v/>
      </c>
      <c r="X14" s="2">
        <f t="shared" si="2"/>
        <v>0</v>
      </c>
      <c r="Y14" s="2" t="str">
        <f t="shared" ca="1" si="3"/>
        <v/>
      </c>
      <c r="Z14" s="1" t="str">
        <f t="shared" ca="1" si="4"/>
        <v/>
      </c>
      <c r="AA14" s="2" t="str">
        <f t="shared" ca="1" si="5"/>
        <v/>
      </c>
      <c r="AB14" s="2" t="str">
        <f t="shared" ca="1" si="8"/>
        <v/>
      </c>
      <c r="AC14" s="1" t="str">
        <f t="shared" ca="1" si="6"/>
        <v/>
      </c>
      <c r="AD14" t="str">
        <f t="shared" si="7"/>
        <v/>
      </c>
    </row>
    <row r="15" spans="1:30" s="2" customFormat="1">
      <c r="A15" s="30" t="str">
        <f t="shared" si="0"/>
        <v/>
      </c>
      <c r="B15" s="14"/>
      <c r="C15" s="4"/>
      <c r="D15" s="4"/>
      <c r="E15" s="90"/>
      <c r="F15" s="91"/>
      <c r="G15" s="91"/>
      <c r="H15" s="92"/>
      <c r="I15" s="14"/>
      <c r="J15" s="4"/>
      <c r="K15" s="4"/>
      <c r="L15" s="84"/>
      <c r="M15" s="85"/>
      <c r="N15" s="86"/>
      <c r="O15" s="13"/>
      <c r="P15" s="20"/>
      <c r="Q15" s="4"/>
      <c r="R15" s="66"/>
      <c r="S15" s="5"/>
      <c r="T15" s="59"/>
      <c r="U15" s="62"/>
      <c r="V15" s="53"/>
      <c r="W15" s="2" t="str">
        <f t="shared" ca="1" si="1"/>
        <v/>
      </c>
      <c r="X15" s="2">
        <f t="shared" si="2"/>
        <v>0</v>
      </c>
      <c r="Y15" s="2" t="str">
        <f t="shared" ca="1" si="3"/>
        <v/>
      </c>
      <c r="Z15" s="1" t="str">
        <f t="shared" ca="1" si="4"/>
        <v/>
      </c>
      <c r="AA15" s="2" t="str">
        <f t="shared" ca="1" si="5"/>
        <v/>
      </c>
      <c r="AB15" s="2" t="str">
        <f t="shared" ca="1" si="8"/>
        <v/>
      </c>
      <c r="AC15" s="1" t="str">
        <f t="shared" ca="1" si="6"/>
        <v/>
      </c>
      <c r="AD15" t="str">
        <f t="shared" si="7"/>
        <v/>
      </c>
    </row>
    <row r="16" spans="1:30" s="2" customFormat="1">
      <c r="A16" s="30" t="str">
        <f t="shared" si="0"/>
        <v/>
      </c>
      <c r="B16" s="14"/>
      <c r="C16" s="4"/>
      <c r="D16" s="4"/>
      <c r="E16" s="90"/>
      <c r="F16" s="91"/>
      <c r="G16" s="91"/>
      <c r="H16" s="92"/>
      <c r="I16" s="14"/>
      <c r="J16" s="4"/>
      <c r="K16" s="4"/>
      <c r="L16" s="84"/>
      <c r="M16" s="85"/>
      <c r="N16" s="86"/>
      <c r="O16" s="13"/>
      <c r="P16" s="20"/>
      <c r="Q16" s="4"/>
      <c r="R16" s="66"/>
      <c r="S16" s="5"/>
      <c r="T16" s="59"/>
      <c r="U16" s="62"/>
      <c r="V16" s="53"/>
      <c r="W16" s="2" t="str">
        <f t="shared" ca="1" si="1"/>
        <v/>
      </c>
      <c r="X16" s="2">
        <f t="shared" si="2"/>
        <v>0</v>
      </c>
      <c r="Y16" s="2" t="str">
        <f t="shared" ca="1" si="3"/>
        <v/>
      </c>
      <c r="Z16" s="1" t="str">
        <f t="shared" ca="1" si="4"/>
        <v/>
      </c>
      <c r="AA16" s="2" t="str">
        <f t="shared" ca="1" si="5"/>
        <v/>
      </c>
      <c r="AB16" s="2" t="str">
        <f t="shared" ca="1" si="8"/>
        <v/>
      </c>
      <c r="AC16" s="1" t="str">
        <f t="shared" ca="1" si="6"/>
        <v/>
      </c>
      <c r="AD16" t="str">
        <f t="shared" si="7"/>
        <v/>
      </c>
    </row>
    <row r="17" spans="1:30" s="2" customFormat="1">
      <c r="A17" s="30" t="str">
        <f t="shared" si="0"/>
        <v/>
      </c>
      <c r="B17" s="14"/>
      <c r="C17" s="4"/>
      <c r="D17" s="4"/>
      <c r="E17" s="90"/>
      <c r="F17" s="91"/>
      <c r="G17" s="91"/>
      <c r="H17" s="92"/>
      <c r="I17" s="14"/>
      <c r="J17" s="4"/>
      <c r="K17" s="4"/>
      <c r="L17" s="84"/>
      <c r="M17" s="85"/>
      <c r="N17" s="86"/>
      <c r="O17" s="13"/>
      <c r="P17" s="20"/>
      <c r="Q17" s="4"/>
      <c r="R17" s="66"/>
      <c r="S17" s="5"/>
      <c r="T17" s="59"/>
      <c r="U17" s="62"/>
      <c r="V17" s="53"/>
      <c r="W17" s="2" t="str">
        <f t="shared" ca="1" si="1"/>
        <v/>
      </c>
      <c r="X17" s="2">
        <f t="shared" si="2"/>
        <v>0</v>
      </c>
      <c r="Y17" s="2" t="str">
        <f t="shared" ca="1" si="3"/>
        <v/>
      </c>
      <c r="Z17" s="1" t="str">
        <f t="shared" ca="1" si="4"/>
        <v/>
      </c>
      <c r="AA17" s="2" t="str">
        <f t="shared" ca="1" si="5"/>
        <v/>
      </c>
      <c r="AB17" s="2" t="str">
        <f t="shared" ca="1" si="8"/>
        <v/>
      </c>
      <c r="AC17" s="1" t="str">
        <f t="shared" ca="1" si="6"/>
        <v/>
      </c>
      <c r="AD17" t="str">
        <f t="shared" si="7"/>
        <v/>
      </c>
    </row>
    <row r="18" spans="1:30" s="2" customFormat="1">
      <c r="A18" s="30" t="str">
        <f t="shared" si="0"/>
        <v/>
      </c>
      <c r="B18" s="14"/>
      <c r="C18" s="4"/>
      <c r="D18" s="4"/>
      <c r="E18" s="90"/>
      <c r="F18" s="91"/>
      <c r="G18" s="91"/>
      <c r="H18" s="92"/>
      <c r="I18" s="14"/>
      <c r="J18" s="4"/>
      <c r="K18" s="4"/>
      <c r="L18" s="84"/>
      <c r="M18" s="85"/>
      <c r="N18" s="86"/>
      <c r="O18" s="13"/>
      <c r="P18" s="20"/>
      <c r="Q18" s="4"/>
      <c r="R18" s="66"/>
      <c r="S18" s="5"/>
      <c r="T18" s="59"/>
      <c r="U18" s="62"/>
      <c r="V18" s="53"/>
      <c r="W18" s="2" t="str">
        <f t="shared" ca="1" si="1"/>
        <v/>
      </c>
      <c r="X18" s="2">
        <f t="shared" si="2"/>
        <v>0</v>
      </c>
      <c r="Y18" s="2" t="str">
        <f t="shared" ca="1" si="3"/>
        <v/>
      </c>
      <c r="Z18" s="1" t="str">
        <f t="shared" ca="1" si="4"/>
        <v/>
      </c>
      <c r="AA18" s="2" t="str">
        <f t="shared" ca="1" si="5"/>
        <v/>
      </c>
      <c r="AB18" s="2" t="str">
        <f t="shared" ca="1" si="8"/>
        <v/>
      </c>
      <c r="AC18" s="1" t="str">
        <f t="shared" ca="1" si="6"/>
        <v/>
      </c>
      <c r="AD18" t="str">
        <f t="shared" si="7"/>
        <v/>
      </c>
    </row>
    <row r="19" spans="1:30" s="2" customFormat="1">
      <c r="A19" s="30" t="str">
        <f t="shared" si="0"/>
        <v/>
      </c>
      <c r="B19" s="14"/>
      <c r="C19" s="4"/>
      <c r="D19" s="4"/>
      <c r="E19" s="90"/>
      <c r="F19" s="91"/>
      <c r="G19" s="91"/>
      <c r="H19" s="92"/>
      <c r="I19" s="14"/>
      <c r="J19" s="4"/>
      <c r="K19" s="4"/>
      <c r="L19" s="84"/>
      <c r="M19" s="85"/>
      <c r="N19" s="86"/>
      <c r="O19" s="13"/>
      <c r="P19" s="20"/>
      <c r="Q19" s="4"/>
      <c r="R19" s="66"/>
      <c r="S19" s="5"/>
      <c r="T19" s="59"/>
      <c r="U19" s="62"/>
      <c r="V19" s="53"/>
      <c r="W19" s="2" t="str">
        <f t="shared" ca="1" si="1"/>
        <v/>
      </c>
      <c r="X19" s="2">
        <f t="shared" si="2"/>
        <v>0</v>
      </c>
      <c r="Y19" s="2" t="str">
        <f t="shared" ca="1" si="3"/>
        <v/>
      </c>
      <c r="Z19" s="1" t="str">
        <f t="shared" ca="1" si="4"/>
        <v/>
      </c>
      <c r="AA19" s="2" t="str">
        <f t="shared" ca="1" si="5"/>
        <v/>
      </c>
      <c r="AB19" s="2" t="str">
        <f t="shared" ca="1" si="8"/>
        <v/>
      </c>
      <c r="AC19" s="1" t="str">
        <f t="shared" ca="1" si="6"/>
        <v/>
      </c>
      <c r="AD19" t="str">
        <f t="shared" si="7"/>
        <v/>
      </c>
    </row>
    <row r="20" spans="1:30" s="2" customFormat="1">
      <c r="A20" s="30" t="str">
        <f t="shared" si="0"/>
        <v/>
      </c>
      <c r="B20" s="14"/>
      <c r="C20" s="4"/>
      <c r="D20" s="4"/>
      <c r="E20" s="90"/>
      <c r="F20" s="91"/>
      <c r="G20" s="91"/>
      <c r="H20" s="92"/>
      <c r="I20" s="14"/>
      <c r="J20" s="4"/>
      <c r="K20" s="4"/>
      <c r="L20" s="84"/>
      <c r="M20" s="85"/>
      <c r="N20" s="86"/>
      <c r="O20" s="13"/>
      <c r="P20" s="20"/>
      <c r="Q20" s="4"/>
      <c r="R20" s="66"/>
      <c r="S20" s="5"/>
      <c r="T20" s="59"/>
      <c r="U20" s="62"/>
      <c r="V20" s="53"/>
      <c r="W20" s="2" t="str">
        <f t="shared" ca="1" si="1"/>
        <v/>
      </c>
      <c r="X20" s="2">
        <f t="shared" si="2"/>
        <v>0</v>
      </c>
      <c r="Y20" s="2" t="str">
        <f t="shared" ca="1" si="3"/>
        <v/>
      </c>
      <c r="Z20" s="1" t="str">
        <f t="shared" ca="1" si="4"/>
        <v/>
      </c>
      <c r="AA20" s="2" t="str">
        <f t="shared" ca="1" si="5"/>
        <v/>
      </c>
      <c r="AB20" s="2" t="str">
        <f t="shared" ca="1" si="8"/>
        <v/>
      </c>
      <c r="AC20" s="1" t="str">
        <f t="shared" ca="1" si="6"/>
        <v/>
      </c>
      <c r="AD20" t="str">
        <f t="shared" si="7"/>
        <v/>
      </c>
    </row>
    <row r="21" spans="1:30" s="2" customFormat="1">
      <c r="A21" s="30" t="str">
        <f t="shared" si="0"/>
        <v/>
      </c>
      <c r="B21" s="14"/>
      <c r="C21" s="4"/>
      <c r="D21" s="4"/>
      <c r="E21" s="90"/>
      <c r="F21" s="91"/>
      <c r="G21" s="91"/>
      <c r="H21" s="92"/>
      <c r="I21" s="14"/>
      <c r="J21" s="4"/>
      <c r="K21" s="4"/>
      <c r="L21" s="84"/>
      <c r="M21" s="85"/>
      <c r="N21" s="86"/>
      <c r="O21" s="13"/>
      <c r="P21" s="20"/>
      <c r="Q21" s="4"/>
      <c r="R21" s="66"/>
      <c r="S21" s="5"/>
      <c r="T21" s="59"/>
      <c r="U21" s="62"/>
      <c r="V21" s="53"/>
      <c r="W21" s="2" t="str">
        <f t="shared" ca="1" si="1"/>
        <v/>
      </c>
      <c r="X21" s="2">
        <f t="shared" si="2"/>
        <v>0</v>
      </c>
      <c r="Y21" s="2" t="str">
        <f t="shared" ca="1" si="3"/>
        <v/>
      </c>
      <c r="Z21" s="1" t="str">
        <f t="shared" ca="1" si="4"/>
        <v/>
      </c>
      <c r="AA21" s="2" t="str">
        <f t="shared" ca="1" si="5"/>
        <v/>
      </c>
      <c r="AB21" s="2" t="str">
        <f t="shared" ca="1" si="8"/>
        <v/>
      </c>
      <c r="AC21" s="1" t="str">
        <f t="shared" ca="1" si="6"/>
        <v/>
      </c>
      <c r="AD21" t="str">
        <f t="shared" si="7"/>
        <v/>
      </c>
    </row>
    <row r="22" spans="1:30" s="2" customFormat="1">
      <c r="A22" s="30" t="str">
        <f t="shared" si="0"/>
        <v/>
      </c>
      <c r="B22" s="14"/>
      <c r="C22" s="4"/>
      <c r="D22" s="4"/>
      <c r="E22" s="90"/>
      <c r="F22" s="91"/>
      <c r="G22" s="91"/>
      <c r="H22" s="92"/>
      <c r="I22" s="14"/>
      <c r="J22" s="4"/>
      <c r="K22" s="4"/>
      <c r="L22" s="84"/>
      <c r="M22" s="85"/>
      <c r="N22" s="86"/>
      <c r="O22" s="13"/>
      <c r="P22" s="20"/>
      <c r="Q22" s="4"/>
      <c r="R22" s="66"/>
      <c r="S22" s="5"/>
      <c r="T22" s="59"/>
      <c r="U22" s="62"/>
      <c r="V22" s="53"/>
      <c r="W22" s="2" t="str">
        <f t="shared" ca="1" si="1"/>
        <v/>
      </c>
      <c r="X22" s="2">
        <f t="shared" si="2"/>
        <v>0</v>
      </c>
      <c r="Y22" s="2" t="str">
        <f t="shared" ca="1" si="3"/>
        <v/>
      </c>
      <c r="Z22" s="1" t="str">
        <f t="shared" ca="1" si="4"/>
        <v/>
      </c>
      <c r="AA22" s="2" t="str">
        <f t="shared" ca="1" si="5"/>
        <v/>
      </c>
      <c r="AB22" s="2" t="str">
        <f t="shared" ca="1" si="8"/>
        <v/>
      </c>
      <c r="AC22" s="1" t="str">
        <f t="shared" ca="1" si="6"/>
        <v/>
      </c>
      <c r="AD22" t="str">
        <f t="shared" si="7"/>
        <v/>
      </c>
    </row>
    <row r="23" spans="1:30" s="2" customFormat="1">
      <c r="A23" s="30" t="str">
        <f t="shared" si="0"/>
        <v/>
      </c>
      <c r="B23" s="14"/>
      <c r="C23" s="4"/>
      <c r="D23" s="4"/>
      <c r="E23" s="90"/>
      <c r="F23" s="91"/>
      <c r="G23" s="91"/>
      <c r="H23" s="92"/>
      <c r="I23" s="14"/>
      <c r="J23" s="4"/>
      <c r="K23" s="4"/>
      <c r="L23" s="84"/>
      <c r="M23" s="85"/>
      <c r="N23" s="86"/>
      <c r="O23" s="13"/>
      <c r="P23" s="20"/>
      <c r="Q23" s="4"/>
      <c r="R23" s="66"/>
      <c r="S23" s="5"/>
      <c r="T23" s="59"/>
      <c r="U23" s="62"/>
      <c r="V23" s="53"/>
      <c r="W23" s="2" t="str">
        <f t="shared" ca="1" si="1"/>
        <v/>
      </c>
      <c r="X23" s="2">
        <f t="shared" si="2"/>
        <v>0</v>
      </c>
      <c r="Y23" s="2" t="str">
        <f t="shared" ca="1" si="3"/>
        <v/>
      </c>
      <c r="Z23" s="1" t="str">
        <f t="shared" ca="1" si="4"/>
        <v/>
      </c>
      <c r="AA23" s="2" t="str">
        <f t="shared" ca="1" si="5"/>
        <v/>
      </c>
      <c r="AB23" s="2" t="str">
        <f t="shared" ca="1" si="8"/>
        <v/>
      </c>
      <c r="AC23" s="1" t="str">
        <f t="shared" ca="1" si="6"/>
        <v/>
      </c>
      <c r="AD23" t="str">
        <f t="shared" si="7"/>
        <v/>
      </c>
    </row>
    <row r="24" spans="1:30" s="2" customFormat="1">
      <c r="A24" s="30" t="str">
        <f t="shared" si="0"/>
        <v/>
      </c>
      <c r="B24" s="14"/>
      <c r="C24" s="4"/>
      <c r="D24" s="4"/>
      <c r="E24" s="90"/>
      <c r="F24" s="91"/>
      <c r="G24" s="91"/>
      <c r="H24" s="92"/>
      <c r="I24" s="14"/>
      <c r="J24" s="4"/>
      <c r="K24" s="4"/>
      <c r="L24" s="84"/>
      <c r="M24" s="85"/>
      <c r="N24" s="86"/>
      <c r="O24" s="13"/>
      <c r="P24" s="20"/>
      <c r="Q24" s="4"/>
      <c r="R24" s="66"/>
      <c r="S24" s="5"/>
      <c r="T24" s="59"/>
      <c r="U24" s="62"/>
      <c r="V24" s="53"/>
      <c r="W24" s="2" t="str">
        <f t="shared" ca="1" si="1"/>
        <v/>
      </c>
      <c r="X24" s="2">
        <f t="shared" si="2"/>
        <v>0</v>
      </c>
      <c r="Y24" s="2" t="str">
        <f t="shared" ca="1" si="3"/>
        <v/>
      </c>
      <c r="Z24" s="1" t="str">
        <f t="shared" ca="1" si="4"/>
        <v/>
      </c>
      <c r="AA24" s="2" t="str">
        <f t="shared" ca="1" si="5"/>
        <v/>
      </c>
      <c r="AB24" s="2" t="str">
        <f t="shared" ca="1" si="8"/>
        <v/>
      </c>
      <c r="AC24" s="1" t="str">
        <f t="shared" ca="1" si="6"/>
        <v/>
      </c>
      <c r="AD24" t="str">
        <f t="shared" si="7"/>
        <v/>
      </c>
    </row>
    <row r="25" spans="1:30" s="2" customFormat="1">
      <c r="A25" s="30" t="str">
        <f t="shared" si="0"/>
        <v/>
      </c>
      <c r="B25" s="14"/>
      <c r="C25" s="4"/>
      <c r="D25" s="4"/>
      <c r="E25" s="90"/>
      <c r="F25" s="91"/>
      <c r="G25" s="91"/>
      <c r="H25" s="92"/>
      <c r="I25" s="14"/>
      <c r="J25" s="4"/>
      <c r="K25" s="4"/>
      <c r="L25" s="84"/>
      <c r="M25" s="85"/>
      <c r="N25" s="86"/>
      <c r="O25" s="13"/>
      <c r="P25" s="20"/>
      <c r="Q25" s="4"/>
      <c r="R25" s="66"/>
      <c r="S25" s="5"/>
      <c r="T25" s="59"/>
      <c r="U25" s="62"/>
      <c r="V25" s="53"/>
      <c r="W25" s="2" t="str">
        <f t="shared" ca="1" si="1"/>
        <v/>
      </c>
      <c r="X25" s="2">
        <f t="shared" si="2"/>
        <v>0</v>
      </c>
      <c r="Y25" s="2" t="str">
        <f t="shared" ca="1" si="3"/>
        <v/>
      </c>
      <c r="Z25" s="1" t="str">
        <f t="shared" ca="1" si="4"/>
        <v/>
      </c>
      <c r="AA25" s="2" t="str">
        <f t="shared" ca="1" si="5"/>
        <v/>
      </c>
      <c r="AB25" s="2" t="str">
        <f t="shared" ca="1" si="8"/>
        <v/>
      </c>
      <c r="AC25" s="1" t="str">
        <f t="shared" ca="1" si="6"/>
        <v/>
      </c>
      <c r="AD25" t="str">
        <f t="shared" si="7"/>
        <v/>
      </c>
    </row>
    <row r="26" spans="1:30" s="2" customFormat="1">
      <c r="A26" s="30" t="str">
        <f t="shared" si="0"/>
        <v/>
      </c>
      <c r="B26" s="14"/>
      <c r="C26" s="4"/>
      <c r="D26" s="4"/>
      <c r="E26" s="90"/>
      <c r="F26" s="91"/>
      <c r="G26" s="91"/>
      <c r="H26" s="92"/>
      <c r="I26" s="14"/>
      <c r="J26" s="4"/>
      <c r="K26" s="4"/>
      <c r="L26" s="84"/>
      <c r="M26" s="85"/>
      <c r="N26" s="86"/>
      <c r="O26" s="13"/>
      <c r="P26" s="20"/>
      <c r="Q26" s="4"/>
      <c r="R26" s="66"/>
      <c r="S26" s="5"/>
      <c r="T26" s="59"/>
      <c r="U26" s="62"/>
      <c r="V26" s="53"/>
      <c r="W26" s="2" t="str">
        <f t="shared" ca="1" si="1"/>
        <v/>
      </c>
      <c r="X26" s="2">
        <f t="shared" si="2"/>
        <v>0</v>
      </c>
      <c r="Y26" s="2" t="str">
        <f t="shared" ca="1" si="3"/>
        <v/>
      </c>
      <c r="Z26" s="1" t="str">
        <f t="shared" ca="1" si="4"/>
        <v/>
      </c>
      <c r="AA26" s="2" t="str">
        <f t="shared" ca="1" si="5"/>
        <v/>
      </c>
      <c r="AB26" s="2" t="str">
        <f t="shared" ca="1" si="8"/>
        <v/>
      </c>
      <c r="AC26" s="1" t="str">
        <f t="shared" ca="1" si="6"/>
        <v/>
      </c>
      <c r="AD26" t="str">
        <f t="shared" si="7"/>
        <v/>
      </c>
    </row>
    <row r="27" spans="1:30" s="2" customFormat="1">
      <c r="A27" s="30" t="str">
        <f t="shared" si="0"/>
        <v/>
      </c>
      <c r="B27" s="14"/>
      <c r="C27" s="4"/>
      <c r="D27" s="4"/>
      <c r="E27" s="90"/>
      <c r="F27" s="91"/>
      <c r="G27" s="91"/>
      <c r="H27" s="92"/>
      <c r="I27" s="14"/>
      <c r="J27" s="4"/>
      <c r="K27" s="4"/>
      <c r="L27" s="84"/>
      <c r="M27" s="85"/>
      <c r="N27" s="86"/>
      <c r="O27" s="13"/>
      <c r="P27" s="20"/>
      <c r="Q27" s="4"/>
      <c r="R27" s="66"/>
      <c r="S27" s="5"/>
      <c r="T27" s="59"/>
      <c r="U27" s="62"/>
      <c r="V27" s="53"/>
      <c r="W27" s="2" t="str">
        <f t="shared" ca="1" si="1"/>
        <v/>
      </c>
      <c r="X27" s="2">
        <f t="shared" si="2"/>
        <v>0</v>
      </c>
      <c r="Y27" s="2" t="str">
        <f t="shared" ca="1" si="3"/>
        <v/>
      </c>
      <c r="Z27" s="1" t="str">
        <f t="shared" ca="1" si="4"/>
        <v/>
      </c>
      <c r="AA27" s="2" t="str">
        <f t="shared" ca="1" si="5"/>
        <v/>
      </c>
      <c r="AB27" s="2" t="str">
        <f t="shared" ca="1" si="8"/>
        <v/>
      </c>
      <c r="AC27" s="1" t="str">
        <f t="shared" ca="1" si="6"/>
        <v/>
      </c>
      <c r="AD27" t="str">
        <f t="shared" si="7"/>
        <v/>
      </c>
    </row>
    <row r="28" spans="1:30" s="2" customFormat="1">
      <c r="A28" s="30" t="str">
        <f t="shared" si="0"/>
        <v/>
      </c>
      <c r="B28" s="14"/>
      <c r="C28" s="4"/>
      <c r="D28" s="4"/>
      <c r="E28" s="90"/>
      <c r="F28" s="91"/>
      <c r="G28" s="91"/>
      <c r="H28" s="92"/>
      <c r="I28" s="14"/>
      <c r="J28" s="4"/>
      <c r="K28" s="4"/>
      <c r="L28" s="84"/>
      <c r="M28" s="85"/>
      <c r="N28" s="86"/>
      <c r="O28" s="13"/>
      <c r="P28" s="20"/>
      <c r="Q28" s="4"/>
      <c r="R28" s="66"/>
      <c r="S28" s="5"/>
      <c r="T28" s="59"/>
      <c r="U28" s="62"/>
      <c r="V28" s="53"/>
      <c r="W28" s="2" t="str">
        <f t="shared" ca="1" si="1"/>
        <v/>
      </c>
      <c r="X28" s="2">
        <f t="shared" si="2"/>
        <v>0</v>
      </c>
      <c r="Y28" s="2" t="str">
        <f t="shared" ca="1" si="3"/>
        <v/>
      </c>
      <c r="Z28" s="1" t="str">
        <f t="shared" ca="1" si="4"/>
        <v/>
      </c>
      <c r="AA28" s="2" t="str">
        <f t="shared" ca="1" si="5"/>
        <v/>
      </c>
      <c r="AB28" s="2" t="str">
        <f t="shared" ca="1" si="8"/>
        <v/>
      </c>
      <c r="AC28" s="1" t="str">
        <f t="shared" ca="1" si="6"/>
        <v/>
      </c>
      <c r="AD28" t="str">
        <f t="shared" si="7"/>
        <v/>
      </c>
    </row>
    <row r="29" spans="1:30" s="2" customFormat="1">
      <c r="A29" s="30" t="str">
        <f t="shared" si="0"/>
        <v/>
      </c>
      <c r="B29" s="14"/>
      <c r="C29" s="4"/>
      <c r="D29" s="4"/>
      <c r="E29" s="90"/>
      <c r="F29" s="91"/>
      <c r="G29" s="91"/>
      <c r="H29" s="92"/>
      <c r="I29" s="14"/>
      <c r="J29" s="4"/>
      <c r="K29" s="4"/>
      <c r="L29" s="84"/>
      <c r="M29" s="85"/>
      <c r="N29" s="86"/>
      <c r="O29" s="13"/>
      <c r="P29" s="20"/>
      <c r="Q29" s="4"/>
      <c r="R29" s="66"/>
      <c r="S29" s="5"/>
      <c r="T29" s="59"/>
      <c r="U29" s="62"/>
      <c r="V29" s="53"/>
      <c r="W29" s="2" t="str">
        <f t="shared" ca="1" si="1"/>
        <v/>
      </c>
      <c r="X29" s="2">
        <f t="shared" si="2"/>
        <v>0</v>
      </c>
      <c r="Y29" s="2" t="str">
        <f t="shared" ca="1" si="3"/>
        <v/>
      </c>
      <c r="Z29" s="1" t="str">
        <f t="shared" ca="1" si="4"/>
        <v/>
      </c>
      <c r="AA29" s="2" t="str">
        <f t="shared" ca="1" si="5"/>
        <v/>
      </c>
      <c r="AB29" s="2" t="str">
        <f t="shared" ca="1" si="8"/>
        <v/>
      </c>
      <c r="AC29" s="1" t="str">
        <f t="shared" ca="1" si="6"/>
        <v/>
      </c>
      <c r="AD29" t="str">
        <f t="shared" si="7"/>
        <v/>
      </c>
    </row>
    <row r="30" spans="1:30" s="2" customFormat="1">
      <c r="A30" s="30" t="str">
        <f t="shared" si="0"/>
        <v/>
      </c>
      <c r="B30" s="14"/>
      <c r="C30" s="4"/>
      <c r="D30" s="4"/>
      <c r="E30" s="90"/>
      <c r="F30" s="91"/>
      <c r="G30" s="91"/>
      <c r="H30" s="92"/>
      <c r="I30" s="14"/>
      <c r="J30" s="4"/>
      <c r="K30" s="4"/>
      <c r="L30" s="84"/>
      <c r="M30" s="85"/>
      <c r="N30" s="86"/>
      <c r="O30" s="13"/>
      <c r="P30" s="20"/>
      <c r="Q30" s="4"/>
      <c r="R30" s="66"/>
      <c r="S30" s="5"/>
      <c r="T30" s="59"/>
      <c r="U30" s="62"/>
      <c r="V30" s="53"/>
      <c r="W30" s="2" t="str">
        <f t="shared" ca="1" si="1"/>
        <v/>
      </c>
      <c r="X30" s="2">
        <f t="shared" si="2"/>
        <v>0</v>
      </c>
      <c r="Y30" s="2" t="str">
        <f t="shared" ca="1" si="3"/>
        <v/>
      </c>
      <c r="Z30" s="1" t="str">
        <f t="shared" ca="1" si="4"/>
        <v/>
      </c>
      <c r="AA30" s="2" t="str">
        <f t="shared" ca="1" si="5"/>
        <v/>
      </c>
      <c r="AB30" s="2" t="str">
        <f t="shared" ca="1" si="8"/>
        <v/>
      </c>
      <c r="AC30" s="1" t="str">
        <f t="shared" ca="1" si="6"/>
        <v/>
      </c>
      <c r="AD30" t="str">
        <f t="shared" si="7"/>
        <v/>
      </c>
    </row>
    <row r="31" spans="1:30" s="2" customFormat="1">
      <c r="A31" s="30" t="str">
        <f t="shared" si="0"/>
        <v/>
      </c>
      <c r="B31" s="14"/>
      <c r="C31" s="4"/>
      <c r="D31" s="4"/>
      <c r="E31" s="90"/>
      <c r="F31" s="91"/>
      <c r="G31" s="91"/>
      <c r="H31" s="92"/>
      <c r="I31" s="14"/>
      <c r="J31" s="4"/>
      <c r="K31" s="4"/>
      <c r="L31" s="84"/>
      <c r="M31" s="85"/>
      <c r="N31" s="86"/>
      <c r="O31" s="13"/>
      <c r="P31" s="20"/>
      <c r="Q31" s="4"/>
      <c r="R31" s="66"/>
      <c r="S31" s="5"/>
      <c r="T31" s="59"/>
      <c r="U31" s="62"/>
      <c r="V31" s="53"/>
      <c r="W31" s="2" t="str">
        <f t="shared" ca="1" si="1"/>
        <v/>
      </c>
      <c r="X31" s="2">
        <f t="shared" si="2"/>
        <v>0</v>
      </c>
      <c r="Y31" s="2" t="str">
        <f t="shared" ca="1" si="3"/>
        <v/>
      </c>
      <c r="Z31" s="1" t="str">
        <f t="shared" ca="1" si="4"/>
        <v/>
      </c>
      <c r="AA31" s="2" t="str">
        <f t="shared" ca="1" si="5"/>
        <v/>
      </c>
      <c r="AB31" s="2" t="str">
        <f t="shared" ca="1" si="8"/>
        <v/>
      </c>
      <c r="AC31" s="1" t="str">
        <f t="shared" ca="1" si="6"/>
        <v/>
      </c>
      <c r="AD31" t="str">
        <f t="shared" si="7"/>
        <v/>
      </c>
    </row>
    <row r="32" spans="1:30" s="2" customFormat="1">
      <c r="A32" s="30" t="str">
        <f t="shared" si="0"/>
        <v/>
      </c>
      <c r="B32" s="14"/>
      <c r="C32" s="4"/>
      <c r="D32" s="4"/>
      <c r="E32" s="90"/>
      <c r="F32" s="91"/>
      <c r="G32" s="91"/>
      <c r="H32" s="92"/>
      <c r="I32" s="14"/>
      <c r="J32" s="4"/>
      <c r="K32" s="4"/>
      <c r="L32" s="84"/>
      <c r="M32" s="85"/>
      <c r="N32" s="86"/>
      <c r="O32" s="13"/>
      <c r="P32" s="20"/>
      <c r="Q32" s="4"/>
      <c r="R32" s="66"/>
      <c r="S32" s="5"/>
      <c r="T32" s="59"/>
      <c r="U32" s="62"/>
      <c r="V32" s="53"/>
      <c r="W32" s="2" t="str">
        <f t="shared" ca="1" si="1"/>
        <v/>
      </c>
      <c r="X32" s="2">
        <f t="shared" si="2"/>
        <v>0</v>
      </c>
      <c r="Y32" s="2" t="str">
        <f t="shared" ca="1" si="3"/>
        <v/>
      </c>
      <c r="Z32" s="1" t="str">
        <f t="shared" ca="1" si="4"/>
        <v/>
      </c>
      <c r="AA32" s="2" t="str">
        <f t="shared" ca="1" si="5"/>
        <v/>
      </c>
      <c r="AB32" s="2" t="str">
        <f t="shared" ca="1" si="8"/>
        <v/>
      </c>
      <c r="AC32" s="1" t="str">
        <f t="shared" ca="1" si="6"/>
        <v/>
      </c>
      <c r="AD32" t="str">
        <f t="shared" si="7"/>
        <v/>
      </c>
    </row>
    <row r="33" spans="1:30" s="2" customFormat="1">
      <c r="A33" s="30" t="str">
        <f t="shared" si="0"/>
        <v/>
      </c>
      <c r="B33" s="14"/>
      <c r="C33" s="4"/>
      <c r="D33" s="4"/>
      <c r="E33" s="90"/>
      <c r="F33" s="91"/>
      <c r="G33" s="91"/>
      <c r="H33" s="92"/>
      <c r="I33" s="14"/>
      <c r="J33" s="4"/>
      <c r="K33" s="4"/>
      <c r="L33" s="84"/>
      <c r="M33" s="85"/>
      <c r="N33" s="86"/>
      <c r="O33" s="13"/>
      <c r="P33" s="20"/>
      <c r="Q33" s="4"/>
      <c r="R33" s="66"/>
      <c r="S33" s="5"/>
      <c r="T33" s="59"/>
      <c r="U33" s="62"/>
      <c r="V33" s="53"/>
      <c r="W33" s="2" t="str">
        <f t="shared" ca="1" si="1"/>
        <v/>
      </c>
      <c r="X33" s="2">
        <f t="shared" si="2"/>
        <v>0</v>
      </c>
      <c r="Y33" s="2" t="str">
        <f t="shared" ca="1" si="3"/>
        <v/>
      </c>
      <c r="Z33" s="1" t="str">
        <f t="shared" ca="1" si="4"/>
        <v/>
      </c>
      <c r="AA33" s="2" t="str">
        <f t="shared" ca="1" si="5"/>
        <v/>
      </c>
      <c r="AB33" s="2" t="str">
        <f t="shared" ca="1" si="8"/>
        <v/>
      </c>
      <c r="AC33" s="1" t="str">
        <f t="shared" ca="1" si="6"/>
        <v/>
      </c>
      <c r="AD33" t="str">
        <f t="shared" si="7"/>
        <v/>
      </c>
    </row>
    <row r="34" spans="1:30" s="2" customFormat="1">
      <c r="A34" s="30" t="str">
        <f t="shared" si="0"/>
        <v/>
      </c>
      <c r="B34" s="14"/>
      <c r="C34" s="4"/>
      <c r="D34" s="4"/>
      <c r="E34" s="90"/>
      <c r="F34" s="91"/>
      <c r="G34" s="91"/>
      <c r="H34" s="92"/>
      <c r="I34" s="14"/>
      <c r="J34" s="4"/>
      <c r="K34" s="4"/>
      <c r="L34" s="84"/>
      <c r="M34" s="85"/>
      <c r="N34" s="86"/>
      <c r="O34" s="13"/>
      <c r="P34" s="20"/>
      <c r="Q34" s="4"/>
      <c r="R34" s="66"/>
      <c r="S34" s="5"/>
      <c r="T34" s="59"/>
      <c r="U34" s="62"/>
      <c r="V34" s="53"/>
      <c r="W34" s="2" t="str">
        <f t="shared" ca="1" si="1"/>
        <v/>
      </c>
      <c r="X34" s="2">
        <f t="shared" si="2"/>
        <v>0</v>
      </c>
      <c r="Y34" s="2" t="str">
        <f t="shared" ca="1" si="3"/>
        <v/>
      </c>
      <c r="Z34" s="1" t="str">
        <f t="shared" ca="1" si="4"/>
        <v/>
      </c>
      <c r="AA34" s="2" t="str">
        <f t="shared" ca="1" si="5"/>
        <v/>
      </c>
      <c r="AB34" s="2" t="str">
        <f t="shared" ca="1" si="8"/>
        <v/>
      </c>
      <c r="AC34" s="1" t="str">
        <f t="shared" ca="1" si="6"/>
        <v/>
      </c>
      <c r="AD34" t="str">
        <f t="shared" si="7"/>
        <v/>
      </c>
    </row>
    <row r="35" spans="1:30" s="2" customFormat="1">
      <c r="A35" s="30" t="str">
        <f t="shared" si="0"/>
        <v/>
      </c>
      <c r="B35" s="14"/>
      <c r="C35" s="4"/>
      <c r="D35" s="4"/>
      <c r="E35" s="90"/>
      <c r="F35" s="91"/>
      <c r="G35" s="91"/>
      <c r="H35" s="92"/>
      <c r="I35" s="14"/>
      <c r="J35" s="4"/>
      <c r="K35" s="4"/>
      <c r="L35" s="84"/>
      <c r="M35" s="85"/>
      <c r="N35" s="86"/>
      <c r="O35" s="13"/>
      <c r="P35" s="20"/>
      <c r="Q35" s="4"/>
      <c r="R35" s="66"/>
      <c r="S35" s="5"/>
      <c r="T35" s="59"/>
      <c r="U35" s="62"/>
      <c r="V35" s="53"/>
      <c r="W35" s="2" t="str">
        <f t="shared" ca="1" si="1"/>
        <v/>
      </c>
      <c r="X35" s="2">
        <f t="shared" si="2"/>
        <v>0</v>
      </c>
      <c r="Y35" s="2" t="str">
        <f t="shared" ca="1" si="3"/>
        <v/>
      </c>
      <c r="Z35" s="1" t="str">
        <f t="shared" ca="1" si="4"/>
        <v/>
      </c>
      <c r="AA35" s="2" t="str">
        <f t="shared" ca="1" si="5"/>
        <v/>
      </c>
      <c r="AB35" s="2" t="str">
        <f t="shared" ca="1" si="8"/>
        <v/>
      </c>
      <c r="AC35" s="1" t="str">
        <f t="shared" ca="1" si="6"/>
        <v/>
      </c>
      <c r="AD35" t="str">
        <f t="shared" si="7"/>
        <v/>
      </c>
    </row>
    <row r="36" spans="1:30" s="2" customFormat="1">
      <c r="A36" s="30" t="str">
        <f t="shared" si="0"/>
        <v/>
      </c>
      <c r="B36" s="14"/>
      <c r="C36" s="4"/>
      <c r="D36" s="4"/>
      <c r="E36" s="90"/>
      <c r="F36" s="91"/>
      <c r="G36" s="91"/>
      <c r="H36" s="92"/>
      <c r="I36" s="14"/>
      <c r="J36" s="4"/>
      <c r="K36" s="4"/>
      <c r="L36" s="84"/>
      <c r="M36" s="85"/>
      <c r="N36" s="86"/>
      <c r="O36" s="13"/>
      <c r="P36" s="20"/>
      <c r="Q36" s="4"/>
      <c r="R36" s="66"/>
      <c r="S36" s="5"/>
      <c r="T36" s="59"/>
      <c r="U36" s="62"/>
      <c r="V36" s="53"/>
      <c r="W36" s="2" t="str">
        <f t="shared" ca="1" si="1"/>
        <v/>
      </c>
      <c r="X36" s="2">
        <f t="shared" si="2"/>
        <v>0</v>
      </c>
      <c r="Y36" s="2" t="str">
        <f t="shared" ca="1" si="3"/>
        <v/>
      </c>
      <c r="Z36" s="1" t="str">
        <f t="shared" ca="1" si="4"/>
        <v/>
      </c>
      <c r="AA36" s="2" t="str">
        <f t="shared" ca="1" si="5"/>
        <v/>
      </c>
      <c r="AB36" s="2" t="str">
        <f t="shared" ca="1" si="8"/>
        <v/>
      </c>
      <c r="AC36" s="1" t="str">
        <f t="shared" ca="1" si="6"/>
        <v/>
      </c>
      <c r="AD36" t="str">
        <f t="shared" si="7"/>
        <v/>
      </c>
    </row>
    <row r="37" spans="1:30" s="2" customFormat="1">
      <c r="A37" s="30" t="str">
        <f t="shared" si="0"/>
        <v/>
      </c>
      <c r="B37" s="14"/>
      <c r="C37" s="4"/>
      <c r="D37" s="4"/>
      <c r="E37" s="90"/>
      <c r="F37" s="91"/>
      <c r="G37" s="91"/>
      <c r="H37" s="92"/>
      <c r="I37" s="14"/>
      <c r="J37" s="4"/>
      <c r="K37" s="4"/>
      <c r="L37" s="84"/>
      <c r="M37" s="85"/>
      <c r="N37" s="86"/>
      <c r="O37" s="13"/>
      <c r="P37" s="20"/>
      <c r="Q37" s="4"/>
      <c r="R37" s="66"/>
      <c r="S37" s="5"/>
      <c r="T37" s="59"/>
      <c r="U37" s="62"/>
      <c r="V37" s="53"/>
      <c r="W37" s="2" t="str">
        <f t="shared" ref="W37:W68" ca="1" si="9">IF(ISNA(VLOOKUP(P37,內容物Mapping,2,FALSE)),"",VLOOKUP(P37,內容物Mapping,2,FALSE))</f>
        <v/>
      </c>
      <c r="X37" s="2">
        <f t="shared" ref="X37:X68" si="10">IF(P37="其他",TRIM(Q37),P37)</f>
        <v>0</v>
      </c>
      <c r="Y37" s="2" t="str">
        <f t="shared" ca="1" si="3"/>
        <v/>
      </c>
      <c r="Z37" s="1" t="str">
        <f t="shared" ref="Z37:Z68" ca="1" si="11">IF(ISNA(VLOOKUP(D37,地址類別Mapping,2,FALSE)),"",VLOOKUP(D37,地址類別Mapping,2,FALSE))</f>
        <v/>
      </c>
      <c r="AA37" s="2" t="str">
        <f t="shared" ref="AA37:AA68" ca="1" si="12">IF(ISNA(VLOOKUP(E37&amp;"-"&amp;F37,郵遞區號,2,FALSE)),"",VLOOKUP(E37&amp;"-"&amp;F37,郵遞區號,2,FALSE))</f>
        <v/>
      </c>
      <c r="AB37" s="2" t="str">
        <f t="shared" ca="1" si="8"/>
        <v/>
      </c>
      <c r="AC37" s="1" t="str">
        <f t="shared" ref="AC37:AC68" ca="1" si="13">IF(ISNA(VLOOKUP(S37,箱袋種類Mapping,2,FALSE)),"",VLOOKUP(S37,箱袋種類Mapping,2,FALSE))</f>
        <v/>
      </c>
      <c r="AD37" t="str">
        <f t="shared" ref="AD37:AD68" si="14">IF(TRIM(B37)&lt;&gt;"","202","")</f>
        <v/>
      </c>
    </row>
    <row r="38" spans="1:30" s="2" customFormat="1">
      <c r="A38" s="30" t="str">
        <f t="shared" si="0"/>
        <v/>
      </c>
      <c r="B38" s="14"/>
      <c r="C38" s="4"/>
      <c r="D38" s="4"/>
      <c r="E38" s="90"/>
      <c r="F38" s="91"/>
      <c r="G38" s="91"/>
      <c r="H38" s="92"/>
      <c r="I38" s="14"/>
      <c r="J38" s="4"/>
      <c r="K38" s="4"/>
      <c r="L38" s="84"/>
      <c r="M38" s="85"/>
      <c r="N38" s="86"/>
      <c r="O38" s="13"/>
      <c r="P38" s="20"/>
      <c r="Q38" s="4"/>
      <c r="R38" s="66"/>
      <c r="S38" s="5"/>
      <c r="T38" s="59"/>
      <c r="U38" s="62"/>
      <c r="V38" s="53"/>
      <c r="W38" s="2" t="str">
        <f t="shared" ca="1" si="9"/>
        <v/>
      </c>
      <c r="X38" s="2">
        <f t="shared" si="10"/>
        <v>0</v>
      </c>
      <c r="Y38" s="2" t="str">
        <f t="shared" ca="1" si="3"/>
        <v/>
      </c>
      <c r="Z38" s="1" t="str">
        <f t="shared" ca="1" si="11"/>
        <v/>
      </c>
      <c r="AA38" s="2" t="str">
        <f t="shared" ca="1" si="12"/>
        <v/>
      </c>
      <c r="AB38" s="2" t="str">
        <f t="shared" ca="1" si="8"/>
        <v/>
      </c>
      <c r="AC38" s="1" t="str">
        <f t="shared" ca="1" si="13"/>
        <v/>
      </c>
      <c r="AD38" t="str">
        <f t="shared" si="14"/>
        <v/>
      </c>
    </row>
    <row r="39" spans="1:30" s="2" customFormat="1">
      <c r="A39" s="30" t="str">
        <f t="shared" si="0"/>
        <v/>
      </c>
      <c r="B39" s="14"/>
      <c r="C39" s="4"/>
      <c r="D39" s="4"/>
      <c r="E39" s="90"/>
      <c r="F39" s="91"/>
      <c r="G39" s="91"/>
      <c r="H39" s="92"/>
      <c r="I39" s="14"/>
      <c r="J39" s="4"/>
      <c r="K39" s="4"/>
      <c r="L39" s="84"/>
      <c r="M39" s="85"/>
      <c r="N39" s="86"/>
      <c r="O39" s="13"/>
      <c r="P39" s="20"/>
      <c r="Q39" s="4"/>
      <c r="R39" s="66"/>
      <c r="S39" s="5"/>
      <c r="T39" s="59"/>
      <c r="U39" s="62"/>
      <c r="V39" s="53"/>
      <c r="W39" s="2" t="str">
        <f t="shared" ca="1" si="9"/>
        <v/>
      </c>
      <c r="X39" s="2">
        <f t="shared" si="10"/>
        <v>0</v>
      </c>
      <c r="Y39" s="2" t="str">
        <f t="shared" ca="1" si="3"/>
        <v/>
      </c>
      <c r="Z39" s="1" t="str">
        <f t="shared" ca="1" si="11"/>
        <v/>
      </c>
      <c r="AA39" s="2" t="str">
        <f t="shared" ca="1" si="12"/>
        <v/>
      </c>
      <c r="AB39" s="2" t="str">
        <f t="shared" ref="AB39:AB70" ca="1" si="15">IF(ISNA(VLOOKUP(L39&amp;"-"&amp;M39,郵遞區號,2,FALSE)),"",VLOOKUP(L39&amp;"-"&amp;M39,郵遞區號,2,FALSE))</f>
        <v/>
      </c>
      <c r="AC39" s="1" t="str">
        <f t="shared" ca="1" si="13"/>
        <v/>
      </c>
      <c r="AD39" t="str">
        <f t="shared" si="14"/>
        <v/>
      </c>
    </row>
    <row r="40" spans="1:30" s="2" customFormat="1">
      <c r="A40" s="30" t="str">
        <f t="shared" si="0"/>
        <v/>
      </c>
      <c r="B40" s="14"/>
      <c r="C40" s="4"/>
      <c r="D40" s="4"/>
      <c r="E40" s="90"/>
      <c r="F40" s="91"/>
      <c r="G40" s="91"/>
      <c r="H40" s="92"/>
      <c r="I40" s="14"/>
      <c r="J40" s="4"/>
      <c r="K40" s="4"/>
      <c r="L40" s="84"/>
      <c r="M40" s="85"/>
      <c r="N40" s="86"/>
      <c r="O40" s="13"/>
      <c r="P40" s="20"/>
      <c r="Q40" s="4"/>
      <c r="R40" s="66"/>
      <c r="S40" s="5"/>
      <c r="T40" s="59"/>
      <c r="U40" s="62"/>
      <c r="V40" s="53"/>
      <c r="W40" s="2" t="str">
        <f t="shared" ca="1" si="9"/>
        <v/>
      </c>
      <c r="X40" s="2">
        <f t="shared" si="10"/>
        <v>0</v>
      </c>
      <c r="Y40" s="2" t="str">
        <f t="shared" ca="1" si="3"/>
        <v/>
      </c>
      <c r="Z40" s="1" t="str">
        <f t="shared" ca="1" si="11"/>
        <v/>
      </c>
      <c r="AA40" s="2" t="str">
        <f t="shared" ca="1" si="12"/>
        <v/>
      </c>
      <c r="AB40" s="2" t="str">
        <f t="shared" ca="1" si="15"/>
        <v/>
      </c>
      <c r="AC40" s="1" t="str">
        <f t="shared" ca="1" si="13"/>
        <v/>
      </c>
      <c r="AD40" t="str">
        <f t="shared" si="14"/>
        <v/>
      </c>
    </row>
    <row r="41" spans="1:30" s="2" customFormat="1">
      <c r="A41" s="30" t="str">
        <f t="shared" si="0"/>
        <v/>
      </c>
      <c r="B41" s="14"/>
      <c r="C41" s="4"/>
      <c r="D41" s="4"/>
      <c r="E41" s="90"/>
      <c r="F41" s="91"/>
      <c r="G41" s="91"/>
      <c r="H41" s="92"/>
      <c r="I41" s="14"/>
      <c r="J41" s="4"/>
      <c r="K41" s="4"/>
      <c r="L41" s="84"/>
      <c r="M41" s="85"/>
      <c r="N41" s="86"/>
      <c r="O41" s="13"/>
      <c r="P41" s="20"/>
      <c r="Q41" s="4"/>
      <c r="R41" s="66"/>
      <c r="S41" s="5"/>
      <c r="T41" s="59"/>
      <c r="U41" s="62"/>
      <c r="V41" s="53"/>
      <c r="W41" s="2" t="str">
        <f t="shared" ca="1" si="9"/>
        <v/>
      </c>
      <c r="X41" s="2">
        <f t="shared" si="10"/>
        <v>0</v>
      </c>
      <c r="Y41" s="2" t="str">
        <f t="shared" ca="1" si="3"/>
        <v/>
      </c>
      <c r="Z41" s="1" t="str">
        <f t="shared" ca="1" si="11"/>
        <v/>
      </c>
      <c r="AA41" s="2" t="str">
        <f t="shared" ca="1" si="12"/>
        <v/>
      </c>
      <c r="AB41" s="2" t="str">
        <f t="shared" ca="1" si="15"/>
        <v/>
      </c>
      <c r="AC41" s="1" t="str">
        <f t="shared" ca="1" si="13"/>
        <v/>
      </c>
      <c r="AD41" t="str">
        <f t="shared" si="14"/>
        <v/>
      </c>
    </row>
    <row r="42" spans="1:30" s="2" customFormat="1">
      <c r="A42" s="30" t="str">
        <f t="shared" si="0"/>
        <v/>
      </c>
      <c r="B42" s="14"/>
      <c r="C42" s="4"/>
      <c r="D42" s="4"/>
      <c r="E42" s="90"/>
      <c r="F42" s="91"/>
      <c r="G42" s="91"/>
      <c r="H42" s="92"/>
      <c r="I42" s="14"/>
      <c r="J42" s="4"/>
      <c r="K42" s="4"/>
      <c r="L42" s="84"/>
      <c r="M42" s="85"/>
      <c r="N42" s="86"/>
      <c r="O42" s="13"/>
      <c r="P42" s="20"/>
      <c r="Q42" s="4"/>
      <c r="R42" s="66"/>
      <c r="S42" s="5"/>
      <c r="T42" s="59"/>
      <c r="U42" s="62"/>
      <c r="V42" s="53"/>
      <c r="W42" s="2" t="str">
        <f t="shared" ca="1" si="9"/>
        <v/>
      </c>
      <c r="X42" s="2">
        <f t="shared" si="10"/>
        <v>0</v>
      </c>
      <c r="Y42" s="2" t="str">
        <f t="shared" ca="1" si="3"/>
        <v/>
      </c>
      <c r="Z42" s="1" t="str">
        <f t="shared" ca="1" si="11"/>
        <v/>
      </c>
      <c r="AA42" s="2" t="str">
        <f t="shared" ca="1" si="12"/>
        <v/>
      </c>
      <c r="AB42" s="2" t="str">
        <f t="shared" ca="1" si="15"/>
        <v/>
      </c>
      <c r="AC42" s="1" t="str">
        <f t="shared" ca="1" si="13"/>
        <v/>
      </c>
      <c r="AD42" t="str">
        <f t="shared" si="14"/>
        <v/>
      </c>
    </row>
    <row r="43" spans="1:30" s="2" customFormat="1">
      <c r="A43" s="30" t="str">
        <f t="shared" si="0"/>
        <v/>
      </c>
      <c r="B43" s="14"/>
      <c r="C43" s="4"/>
      <c r="D43" s="4"/>
      <c r="E43" s="90"/>
      <c r="F43" s="91"/>
      <c r="G43" s="91"/>
      <c r="H43" s="92"/>
      <c r="I43" s="14"/>
      <c r="J43" s="4"/>
      <c r="K43" s="4"/>
      <c r="L43" s="84"/>
      <c r="M43" s="85"/>
      <c r="N43" s="86"/>
      <c r="O43" s="13"/>
      <c r="P43" s="20"/>
      <c r="Q43" s="4"/>
      <c r="R43" s="66"/>
      <c r="S43" s="5"/>
      <c r="T43" s="59"/>
      <c r="U43" s="62"/>
      <c r="V43" s="53"/>
      <c r="W43" s="2" t="str">
        <f t="shared" ca="1" si="9"/>
        <v/>
      </c>
      <c r="X43" s="2">
        <f t="shared" si="10"/>
        <v>0</v>
      </c>
      <c r="Y43" s="2" t="str">
        <f t="shared" ca="1" si="3"/>
        <v/>
      </c>
      <c r="Z43" s="1" t="str">
        <f t="shared" ca="1" si="11"/>
        <v/>
      </c>
      <c r="AA43" s="2" t="str">
        <f t="shared" ca="1" si="12"/>
        <v/>
      </c>
      <c r="AB43" s="2" t="str">
        <f t="shared" ca="1" si="15"/>
        <v/>
      </c>
      <c r="AC43" s="1" t="str">
        <f t="shared" ca="1" si="13"/>
        <v/>
      </c>
      <c r="AD43" t="str">
        <f t="shared" si="14"/>
        <v/>
      </c>
    </row>
    <row r="44" spans="1:30" s="2" customFormat="1">
      <c r="A44" s="30" t="str">
        <f t="shared" si="0"/>
        <v/>
      </c>
      <c r="B44" s="14"/>
      <c r="C44" s="4"/>
      <c r="D44" s="4"/>
      <c r="E44" s="90"/>
      <c r="F44" s="91"/>
      <c r="G44" s="91"/>
      <c r="H44" s="92"/>
      <c r="I44" s="14"/>
      <c r="J44" s="4"/>
      <c r="K44" s="4"/>
      <c r="L44" s="84"/>
      <c r="M44" s="85"/>
      <c r="N44" s="86"/>
      <c r="O44" s="13"/>
      <c r="P44" s="20"/>
      <c r="Q44" s="4"/>
      <c r="R44" s="66"/>
      <c r="S44" s="5"/>
      <c r="T44" s="59"/>
      <c r="U44" s="62"/>
      <c r="V44" s="53"/>
      <c r="W44" s="2" t="str">
        <f t="shared" ca="1" si="9"/>
        <v/>
      </c>
      <c r="X44" s="2">
        <f t="shared" si="10"/>
        <v>0</v>
      </c>
      <c r="Y44" s="2" t="str">
        <f t="shared" ca="1" si="3"/>
        <v/>
      </c>
      <c r="Z44" s="1" t="str">
        <f t="shared" ca="1" si="11"/>
        <v/>
      </c>
      <c r="AA44" s="2" t="str">
        <f t="shared" ca="1" si="12"/>
        <v/>
      </c>
      <c r="AB44" s="2" t="str">
        <f t="shared" ca="1" si="15"/>
        <v/>
      </c>
      <c r="AC44" s="1" t="str">
        <f t="shared" ca="1" si="13"/>
        <v/>
      </c>
      <c r="AD44" t="str">
        <f t="shared" si="14"/>
        <v/>
      </c>
    </row>
    <row r="45" spans="1:30" s="2" customFormat="1">
      <c r="A45" s="30" t="str">
        <f t="shared" si="0"/>
        <v/>
      </c>
      <c r="B45" s="14"/>
      <c r="C45" s="4"/>
      <c r="D45" s="4"/>
      <c r="E45" s="90"/>
      <c r="F45" s="91"/>
      <c r="G45" s="91"/>
      <c r="H45" s="92"/>
      <c r="I45" s="14"/>
      <c r="J45" s="4"/>
      <c r="K45" s="4"/>
      <c r="L45" s="84"/>
      <c r="M45" s="85"/>
      <c r="N45" s="86"/>
      <c r="O45" s="13"/>
      <c r="P45" s="20"/>
      <c r="Q45" s="4"/>
      <c r="R45" s="66"/>
      <c r="S45" s="5"/>
      <c r="T45" s="59"/>
      <c r="U45" s="62"/>
      <c r="V45" s="53"/>
      <c r="W45" s="2" t="str">
        <f t="shared" ca="1" si="9"/>
        <v/>
      </c>
      <c r="X45" s="2">
        <f t="shared" si="10"/>
        <v>0</v>
      </c>
      <c r="Y45" s="2" t="str">
        <f t="shared" ca="1" si="3"/>
        <v/>
      </c>
      <c r="Z45" s="1" t="str">
        <f t="shared" ca="1" si="11"/>
        <v/>
      </c>
      <c r="AA45" s="2" t="str">
        <f t="shared" ca="1" si="12"/>
        <v/>
      </c>
      <c r="AB45" s="2" t="str">
        <f t="shared" ca="1" si="15"/>
        <v/>
      </c>
      <c r="AC45" s="1" t="str">
        <f t="shared" ca="1" si="13"/>
        <v/>
      </c>
      <c r="AD45" t="str">
        <f t="shared" si="14"/>
        <v/>
      </c>
    </row>
    <row r="46" spans="1:30" s="2" customFormat="1">
      <c r="A46" s="30" t="str">
        <f t="shared" si="0"/>
        <v/>
      </c>
      <c r="B46" s="14"/>
      <c r="C46" s="4"/>
      <c r="D46" s="4"/>
      <c r="E46" s="90"/>
      <c r="F46" s="91"/>
      <c r="G46" s="91"/>
      <c r="H46" s="92"/>
      <c r="I46" s="14"/>
      <c r="J46" s="4"/>
      <c r="K46" s="4"/>
      <c r="L46" s="84"/>
      <c r="M46" s="85"/>
      <c r="N46" s="86"/>
      <c r="O46" s="13"/>
      <c r="P46" s="20"/>
      <c r="Q46" s="4"/>
      <c r="R46" s="66"/>
      <c r="S46" s="5"/>
      <c r="T46" s="59"/>
      <c r="U46" s="62"/>
      <c r="V46" s="53"/>
      <c r="W46" s="2" t="str">
        <f t="shared" ca="1" si="9"/>
        <v/>
      </c>
      <c r="X46" s="2">
        <f t="shared" si="10"/>
        <v>0</v>
      </c>
      <c r="Y46" s="2" t="str">
        <f t="shared" ca="1" si="3"/>
        <v/>
      </c>
      <c r="Z46" s="1" t="str">
        <f t="shared" ca="1" si="11"/>
        <v/>
      </c>
      <c r="AA46" s="2" t="str">
        <f t="shared" ca="1" si="12"/>
        <v/>
      </c>
      <c r="AB46" s="2" t="str">
        <f t="shared" ca="1" si="15"/>
        <v/>
      </c>
      <c r="AC46" s="1" t="str">
        <f t="shared" ca="1" si="13"/>
        <v/>
      </c>
      <c r="AD46" t="str">
        <f t="shared" si="14"/>
        <v/>
      </c>
    </row>
    <row r="47" spans="1:30" s="2" customFormat="1">
      <c r="A47" s="30" t="str">
        <f t="shared" si="0"/>
        <v/>
      </c>
      <c r="B47" s="14"/>
      <c r="C47" s="4"/>
      <c r="D47" s="4"/>
      <c r="E47" s="90"/>
      <c r="F47" s="91"/>
      <c r="G47" s="91"/>
      <c r="H47" s="92"/>
      <c r="I47" s="14"/>
      <c r="J47" s="4"/>
      <c r="K47" s="4"/>
      <c r="L47" s="84"/>
      <c r="M47" s="85"/>
      <c r="N47" s="86"/>
      <c r="O47" s="13"/>
      <c r="P47" s="20"/>
      <c r="Q47" s="4"/>
      <c r="R47" s="66"/>
      <c r="S47" s="5"/>
      <c r="T47" s="59"/>
      <c r="U47" s="62"/>
      <c r="V47" s="53"/>
      <c r="W47" s="2" t="str">
        <f t="shared" ca="1" si="9"/>
        <v/>
      </c>
      <c r="X47" s="2">
        <f t="shared" si="10"/>
        <v>0</v>
      </c>
      <c r="Y47" s="2" t="str">
        <f t="shared" ca="1" si="3"/>
        <v/>
      </c>
      <c r="Z47" s="1" t="str">
        <f t="shared" ca="1" si="11"/>
        <v/>
      </c>
      <c r="AA47" s="2" t="str">
        <f t="shared" ca="1" si="12"/>
        <v/>
      </c>
      <c r="AB47" s="2" t="str">
        <f t="shared" ca="1" si="15"/>
        <v/>
      </c>
      <c r="AC47" s="1" t="str">
        <f t="shared" ca="1" si="13"/>
        <v/>
      </c>
      <c r="AD47" t="str">
        <f t="shared" si="14"/>
        <v/>
      </c>
    </row>
    <row r="48" spans="1:30" s="2" customFormat="1">
      <c r="A48" s="30" t="str">
        <f t="shared" si="0"/>
        <v/>
      </c>
      <c r="B48" s="14"/>
      <c r="C48" s="4"/>
      <c r="D48" s="4"/>
      <c r="E48" s="90"/>
      <c r="F48" s="91"/>
      <c r="G48" s="91"/>
      <c r="H48" s="92"/>
      <c r="I48" s="14"/>
      <c r="J48" s="4"/>
      <c r="K48" s="4"/>
      <c r="L48" s="84"/>
      <c r="M48" s="85"/>
      <c r="N48" s="86"/>
      <c r="O48" s="13"/>
      <c r="P48" s="20"/>
      <c r="Q48" s="4"/>
      <c r="R48" s="66"/>
      <c r="S48" s="5"/>
      <c r="T48" s="59"/>
      <c r="U48" s="62"/>
      <c r="V48" s="53"/>
      <c r="W48" s="2" t="str">
        <f t="shared" ca="1" si="9"/>
        <v/>
      </c>
      <c r="X48" s="2">
        <f t="shared" si="10"/>
        <v>0</v>
      </c>
      <c r="Y48" s="2" t="str">
        <f t="shared" ca="1" si="3"/>
        <v/>
      </c>
      <c r="Z48" s="1" t="str">
        <f t="shared" ca="1" si="11"/>
        <v/>
      </c>
      <c r="AA48" s="2" t="str">
        <f t="shared" ca="1" si="12"/>
        <v/>
      </c>
      <c r="AB48" s="2" t="str">
        <f t="shared" ca="1" si="15"/>
        <v/>
      </c>
      <c r="AC48" s="1" t="str">
        <f t="shared" ca="1" si="13"/>
        <v/>
      </c>
      <c r="AD48" t="str">
        <f t="shared" si="14"/>
        <v/>
      </c>
    </row>
    <row r="49" spans="1:30" s="2" customFormat="1">
      <c r="A49" s="30" t="str">
        <f t="shared" si="0"/>
        <v/>
      </c>
      <c r="B49" s="14"/>
      <c r="C49" s="4"/>
      <c r="D49" s="4"/>
      <c r="E49" s="90"/>
      <c r="F49" s="91"/>
      <c r="G49" s="91"/>
      <c r="H49" s="92"/>
      <c r="I49" s="14"/>
      <c r="J49" s="4"/>
      <c r="K49" s="4"/>
      <c r="L49" s="84"/>
      <c r="M49" s="85"/>
      <c r="N49" s="86"/>
      <c r="O49" s="13"/>
      <c r="P49" s="20"/>
      <c r="Q49" s="4"/>
      <c r="R49" s="66"/>
      <c r="S49" s="5"/>
      <c r="T49" s="59"/>
      <c r="U49" s="62"/>
      <c r="V49" s="53"/>
      <c r="W49" s="2" t="str">
        <f t="shared" ca="1" si="9"/>
        <v/>
      </c>
      <c r="X49" s="2">
        <f t="shared" si="10"/>
        <v>0</v>
      </c>
      <c r="Y49" s="2" t="str">
        <f t="shared" ca="1" si="3"/>
        <v/>
      </c>
      <c r="Z49" s="1" t="str">
        <f t="shared" ca="1" si="11"/>
        <v/>
      </c>
      <c r="AA49" s="2" t="str">
        <f t="shared" ca="1" si="12"/>
        <v/>
      </c>
      <c r="AB49" s="2" t="str">
        <f t="shared" ca="1" si="15"/>
        <v/>
      </c>
      <c r="AC49" s="1" t="str">
        <f t="shared" ca="1" si="13"/>
        <v/>
      </c>
      <c r="AD49" t="str">
        <f t="shared" si="14"/>
        <v/>
      </c>
    </row>
    <row r="50" spans="1:30" s="2" customFormat="1">
      <c r="A50" s="30" t="str">
        <f t="shared" si="0"/>
        <v/>
      </c>
      <c r="B50" s="14"/>
      <c r="C50" s="4"/>
      <c r="D50" s="4"/>
      <c r="E50" s="90"/>
      <c r="F50" s="91"/>
      <c r="G50" s="91"/>
      <c r="H50" s="92"/>
      <c r="I50" s="14"/>
      <c r="J50" s="4"/>
      <c r="K50" s="4"/>
      <c r="L50" s="84"/>
      <c r="M50" s="85"/>
      <c r="N50" s="86"/>
      <c r="O50" s="13"/>
      <c r="P50" s="20"/>
      <c r="Q50" s="4"/>
      <c r="R50" s="66"/>
      <c r="S50" s="5"/>
      <c r="T50" s="59"/>
      <c r="U50" s="62"/>
      <c r="V50" s="53"/>
      <c r="W50" s="2" t="str">
        <f t="shared" ca="1" si="9"/>
        <v/>
      </c>
      <c r="X50" s="2">
        <f t="shared" si="10"/>
        <v>0</v>
      </c>
      <c r="Y50" s="2" t="str">
        <f t="shared" ca="1" si="3"/>
        <v/>
      </c>
      <c r="Z50" s="1" t="str">
        <f t="shared" ca="1" si="11"/>
        <v/>
      </c>
      <c r="AA50" s="2" t="str">
        <f t="shared" ca="1" si="12"/>
        <v/>
      </c>
      <c r="AB50" s="2" t="str">
        <f t="shared" ca="1" si="15"/>
        <v/>
      </c>
      <c r="AC50" s="1" t="str">
        <f t="shared" ca="1" si="13"/>
        <v/>
      </c>
      <c r="AD50" t="str">
        <f t="shared" si="14"/>
        <v/>
      </c>
    </row>
    <row r="51" spans="1:30" s="2" customFormat="1">
      <c r="A51" s="30" t="str">
        <f t="shared" si="0"/>
        <v/>
      </c>
      <c r="B51" s="14"/>
      <c r="C51" s="4"/>
      <c r="D51" s="4"/>
      <c r="E51" s="90"/>
      <c r="F51" s="91"/>
      <c r="G51" s="91"/>
      <c r="H51" s="92"/>
      <c r="I51" s="14"/>
      <c r="J51" s="4"/>
      <c r="K51" s="4"/>
      <c r="L51" s="84"/>
      <c r="M51" s="85"/>
      <c r="N51" s="86"/>
      <c r="O51" s="13"/>
      <c r="P51" s="20"/>
      <c r="Q51" s="4"/>
      <c r="R51" s="66"/>
      <c r="S51" s="5"/>
      <c r="T51" s="59"/>
      <c r="U51" s="62"/>
      <c r="V51" s="53"/>
      <c r="W51" s="2" t="str">
        <f t="shared" ca="1" si="9"/>
        <v/>
      </c>
      <c r="X51" s="2">
        <f t="shared" si="10"/>
        <v>0</v>
      </c>
      <c r="Y51" s="2" t="str">
        <f t="shared" ca="1" si="3"/>
        <v/>
      </c>
      <c r="Z51" s="1" t="str">
        <f t="shared" ca="1" si="11"/>
        <v/>
      </c>
      <c r="AA51" s="2" t="str">
        <f t="shared" ca="1" si="12"/>
        <v/>
      </c>
      <c r="AB51" s="2" t="str">
        <f t="shared" ca="1" si="15"/>
        <v/>
      </c>
      <c r="AC51" s="1" t="str">
        <f t="shared" ca="1" si="13"/>
        <v/>
      </c>
      <c r="AD51" t="str">
        <f t="shared" si="14"/>
        <v/>
      </c>
    </row>
    <row r="52" spans="1:30" s="2" customFormat="1">
      <c r="A52" s="30" t="str">
        <f t="shared" si="0"/>
        <v/>
      </c>
      <c r="B52" s="14"/>
      <c r="C52" s="4"/>
      <c r="D52" s="4"/>
      <c r="E52" s="90"/>
      <c r="F52" s="91"/>
      <c r="G52" s="91"/>
      <c r="H52" s="92"/>
      <c r="I52" s="14"/>
      <c r="J52" s="4"/>
      <c r="K52" s="4"/>
      <c r="L52" s="84"/>
      <c r="M52" s="85"/>
      <c r="N52" s="86"/>
      <c r="O52" s="13"/>
      <c r="P52" s="20"/>
      <c r="Q52" s="4"/>
      <c r="R52" s="66"/>
      <c r="S52" s="5"/>
      <c r="T52" s="59"/>
      <c r="U52" s="62"/>
      <c r="V52" s="53"/>
      <c r="W52" s="2" t="str">
        <f t="shared" ca="1" si="9"/>
        <v/>
      </c>
      <c r="X52" s="2">
        <f t="shared" si="10"/>
        <v>0</v>
      </c>
      <c r="Y52" s="2" t="str">
        <f t="shared" ca="1" si="3"/>
        <v/>
      </c>
      <c r="Z52" s="1" t="str">
        <f t="shared" ca="1" si="11"/>
        <v/>
      </c>
      <c r="AA52" s="2" t="str">
        <f t="shared" ca="1" si="12"/>
        <v/>
      </c>
      <c r="AB52" s="2" t="str">
        <f t="shared" ca="1" si="15"/>
        <v/>
      </c>
      <c r="AC52" s="1" t="str">
        <f t="shared" ca="1" si="13"/>
        <v/>
      </c>
      <c r="AD52" t="str">
        <f t="shared" si="14"/>
        <v/>
      </c>
    </row>
    <row r="53" spans="1:30" s="2" customFormat="1">
      <c r="A53" s="30" t="str">
        <f t="shared" si="0"/>
        <v/>
      </c>
      <c r="B53" s="14"/>
      <c r="C53" s="4"/>
      <c r="D53" s="4"/>
      <c r="E53" s="90"/>
      <c r="F53" s="91"/>
      <c r="G53" s="91"/>
      <c r="H53" s="92"/>
      <c r="I53" s="14"/>
      <c r="J53" s="4"/>
      <c r="K53" s="4"/>
      <c r="L53" s="84"/>
      <c r="M53" s="85"/>
      <c r="N53" s="86"/>
      <c r="O53" s="13"/>
      <c r="P53" s="20"/>
      <c r="Q53" s="4"/>
      <c r="R53" s="66"/>
      <c r="S53" s="5"/>
      <c r="T53" s="59"/>
      <c r="U53" s="62"/>
      <c r="V53" s="53"/>
      <c r="W53" s="2" t="str">
        <f t="shared" ca="1" si="9"/>
        <v/>
      </c>
      <c r="X53" s="2">
        <f t="shared" si="10"/>
        <v>0</v>
      </c>
      <c r="Y53" s="2" t="str">
        <f t="shared" ca="1" si="3"/>
        <v/>
      </c>
      <c r="Z53" s="1" t="str">
        <f t="shared" ca="1" si="11"/>
        <v/>
      </c>
      <c r="AA53" s="2" t="str">
        <f t="shared" ca="1" si="12"/>
        <v/>
      </c>
      <c r="AB53" s="2" t="str">
        <f t="shared" ca="1" si="15"/>
        <v/>
      </c>
      <c r="AC53" s="1" t="str">
        <f t="shared" ca="1" si="13"/>
        <v/>
      </c>
      <c r="AD53" t="str">
        <f t="shared" si="14"/>
        <v/>
      </c>
    </row>
    <row r="54" spans="1:30" s="2" customFormat="1">
      <c r="A54" s="30" t="str">
        <f t="shared" si="0"/>
        <v/>
      </c>
      <c r="B54" s="14"/>
      <c r="C54" s="4"/>
      <c r="D54" s="4"/>
      <c r="E54" s="90"/>
      <c r="F54" s="91"/>
      <c r="G54" s="91"/>
      <c r="H54" s="92"/>
      <c r="I54" s="14"/>
      <c r="J54" s="4"/>
      <c r="K54" s="4"/>
      <c r="L54" s="84"/>
      <c r="M54" s="85"/>
      <c r="N54" s="86"/>
      <c r="O54" s="13"/>
      <c r="P54" s="20"/>
      <c r="Q54" s="4"/>
      <c r="R54" s="66"/>
      <c r="S54" s="5"/>
      <c r="T54" s="59"/>
      <c r="U54" s="62"/>
      <c r="V54" s="53"/>
      <c r="W54" s="2" t="str">
        <f t="shared" ca="1" si="9"/>
        <v/>
      </c>
      <c r="X54" s="2">
        <f t="shared" si="10"/>
        <v>0</v>
      </c>
      <c r="Y54" s="2" t="str">
        <f t="shared" ca="1" si="3"/>
        <v/>
      </c>
      <c r="Z54" s="1" t="str">
        <f t="shared" ca="1" si="11"/>
        <v/>
      </c>
      <c r="AA54" s="2" t="str">
        <f t="shared" ca="1" si="12"/>
        <v/>
      </c>
      <c r="AB54" s="2" t="str">
        <f t="shared" ca="1" si="15"/>
        <v/>
      </c>
      <c r="AC54" s="1" t="str">
        <f t="shared" ca="1" si="13"/>
        <v/>
      </c>
      <c r="AD54" t="str">
        <f t="shared" si="14"/>
        <v/>
      </c>
    </row>
    <row r="55" spans="1:30" s="2" customFormat="1">
      <c r="A55" s="30" t="str">
        <f t="shared" si="0"/>
        <v/>
      </c>
      <c r="B55" s="14"/>
      <c r="C55" s="4"/>
      <c r="D55" s="4"/>
      <c r="E55" s="90"/>
      <c r="F55" s="91"/>
      <c r="G55" s="91"/>
      <c r="H55" s="92"/>
      <c r="I55" s="14"/>
      <c r="J55" s="4"/>
      <c r="K55" s="4"/>
      <c r="L55" s="84"/>
      <c r="M55" s="85"/>
      <c r="N55" s="86"/>
      <c r="O55" s="13"/>
      <c r="P55" s="20"/>
      <c r="Q55" s="4"/>
      <c r="R55" s="66"/>
      <c r="S55" s="5"/>
      <c r="T55" s="59"/>
      <c r="U55" s="62"/>
      <c r="V55" s="53"/>
      <c r="W55" s="2" t="str">
        <f t="shared" ca="1" si="9"/>
        <v/>
      </c>
      <c r="X55" s="2">
        <f t="shared" si="10"/>
        <v>0</v>
      </c>
      <c r="Y55" s="2" t="str">
        <f t="shared" ca="1" si="3"/>
        <v/>
      </c>
      <c r="Z55" s="1" t="str">
        <f t="shared" ca="1" si="11"/>
        <v/>
      </c>
      <c r="AA55" s="2" t="str">
        <f t="shared" ca="1" si="12"/>
        <v/>
      </c>
      <c r="AB55" s="2" t="str">
        <f t="shared" ca="1" si="15"/>
        <v/>
      </c>
      <c r="AC55" s="1" t="str">
        <f t="shared" ca="1" si="13"/>
        <v/>
      </c>
      <c r="AD55" t="str">
        <f t="shared" si="14"/>
        <v/>
      </c>
    </row>
    <row r="56" spans="1:30" s="2" customFormat="1">
      <c r="A56" s="30" t="str">
        <f t="shared" si="0"/>
        <v/>
      </c>
      <c r="B56" s="14"/>
      <c r="C56" s="4"/>
      <c r="D56" s="4"/>
      <c r="E56" s="90"/>
      <c r="F56" s="91"/>
      <c r="G56" s="91"/>
      <c r="H56" s="92"/>
      <c r="I56" s="14"/>
      <c r="J56" s="4"/>
      <c r="K56" s="4"/>
      <c r="L56" s="84"/>
      <c r="M56" s="85"/>
      <c r="N56" s="86"/>
      <c r="O56" s="13"/>
      <c r="P56" s="20"/>
      <c r="Q56" s="4"/>
      <c r="R56" s="66"/>
      <c r="S56" s="5"/>
      <c r="T56" s="59"/>
      <c r="U56" s="62"/>
      <c r="V56" s="53"/>
      <c r="W56" s="2" t="str">
        <f t="shared" ca="1" si="9"/>
        <v/>
      </c>
      <c r="X56" s="2">
        <f t="shared" si="10"/>
        <v>0</v>
      </c>
      <c r="Y56" s="2" t="str">
        <f t="shared" ca="1" si="3"/>
        <v/>
      </c>
      <c r="Z56" s="1" t="str">
        <f t="shared" ca="1" si="11"/>
        <v/>
      </c>
      <c r="AA56" s="2" t="str">
        <f t="shared" ca="1" si="12"/>
        <v/>
      </c>
      <c r="AB56" s="2" t="str">
        <f t="shared" ca="1" si="15"/>
        <v/>
      </c>
      <c r="AC56" s="1" t="str">
        <f t="shared" ca="1" si="13"/>
        <v/>
      </c>
      <c r="AD56" t="str">
        <f t="shared" si="14"/>
        <v/>
      </c>
    </row>
    <row r="57" spans="1:30" s="2" customFormat="1">
      <c r="A57" s="30" t="str">
        <f t="shared" si="0"/>
        <v/>
      </c>
      <c r="B57" s="14"/>
      <c r="C57" s="4"/>
      <c r="D57" s="4"/>
      <c r="E57" s="90"/>
      <c r="F57" s="91"/>
      <c r="G57" s="91"/>
      <c r="H57" s="92"/>
      <c r="I57" s="14"/>
      <c r="J57" s="4"/>
      <c r="K57" s="4"/>
      <c r="L57" s="84"/>
      <c r="M57" s="85"/>
      <c r="N57" s="86"/>
      <c r="O57" s="13"/>
      <c r="P57" s="20"/>
      <c r="Q57" s="4"/>
      <c r="R57" s="66"/>
      <c r="S57" s="5"/>
      <c r="T57" s="59"/>
      <c r="U57" s="62"/>
      <c r="V57" s="53"/>
      <c r="W57" s="2" t="str">
        <f t="shared" ca="1" si="9"/>
        <v/>
      </c>
      <c r="X57" s="2">
        <f t="shared" si="10"/>
        <v>0</v>
      </c>
      <c r="Y57" s="2" t="str">
        <f t="shared" ca="1" si="3"/>
        <v/>
      </c>
      <c r="Z57" s="1" t="str">
        <f t="shared" ca="1" si="11"/>
        <v/>
      </c>
      <c r="AA57" s="2" t="str">
        <f t="shared" ca="1" si="12"/>
        <v/>
      </c>
      <c r="AB57" s="2" t="str">
        <f t="shared" ca="1" si="15"/>
        <v/>
      </c>
      <c r="AC57" s="1" t="str">
        <f t="shared" ca="1" si="13"/>
        <v/>
      </c>
      <c r="AD57" t="str">
        <f t="shared" si="14"/>
        <v/>
      </c>
    </row>
    <row r="58" spans="1:30" s="2" customFormat="1">
      <c r="A58" s="30" t="str">
        <f t="shared" si="0"/>
        <v/>
      </c>
      <c r="B58" s="14"/>
      <c r="C58" s="4"/>
      <c r="D58" s="4"/>
      <c r="E58" s="90"/>
      <c r="F58" s="91"/>
      <c r="G58" s="91"/>
      <c r="H58" s="92"/>
      <c r="I58" s="14"/>
      <c r="J58" s="4"/>
      <c r="K58" s="4"/>
      <c r="L58" s="84"/>
      <c r="M58" s="85"/>
      <c r="N58" s="86"/>
      <c r="O58" s="13"/>
      <c r="P58" s="20"/>
      <c r="Q58" s="4"/>
      <c r="R58" s="66"/>
      <c r="S58" s="5"/>
      <c r="T58" s="59"/>
      <c r="U58" s="62"/>
      <c r="V58" s="53"/>
      <c r="W58" s="2" t="str">
        <f t="shared" ca="1" si="9"/>
        <v/>
      </c>
      <c r="X58" s="2">
        <f t="shared" si="10"/>
        <v>0</v>
      </c>
      <c r="Y58" s="2" t="str">
        <f t="shared" ca="1" si="3"/>
        <v/>
      </c>
      <c r="Z58" s="1" t="str">
        <f t="shared" ca="1" si="11"/>
        <v/>
      </c>
      <c r="AA58" s="2" t="str">
        <f t="shared" ca="1" si="12"/>
        <v/>
      </c>
      <c r="AB58" s="2" t="str">
        <f t="shared" ca="1" si="15"/>
        <v/>
      </c>
      <c r="AC58" s="1" t="str">
        <f t="shared" ca="1" si="13"/>
        <v/>
      </c>
      <c r="AD58" t="str">
        <f t="shared" si="14"/>
        <v/>
      </c>
    </row>
    <row r="59" spans="1:30" s="2" customFormat="1">
      <c r="A59" s="30" t="str">
        <f t="shared" si="0"/>
        <v/>
      </c>
      <c r="B59" s="14"/>
      <c r="C59" s="4"/>
      <c r="D59" s="4"/>
      <c r="E59" s="90"/>
      <c r="F59" s="91"/>
      <c r="G59" s="91"/>
      <c r="H59" s="92"/>
      <c r="I59" s="14"/>
      <c r="J59" s="4"/>
      <c r="K59" s="4"/>
      <c r="L59" s="84"/>
      <c r="M59" s="85"/>
      <c r="N59" s="86"/>
      <c r="O59" s="13"/>
      <c r="P59" s="20"/>
      <c r="Q59" s="4"/>
      <c r="R59" s="66"/>
      <c r="S59" s="5"/>
      <c r="T59" s="59"/>
      <c r="U59" s="62"/>
      <c r="V59" s="53"/>
      <c r="W59" s="2" t="str">
        <f t="shared" ca="1" si="9"/>
        <v/>
      </c>
      <c r="X59" s="2">
        <f t="shared" si="10"/>
        <v>0</v>
      </c>
      <c r="Y59" s="2" t="str">
        <f t="shared" ca="1" si="3"/>
        <v/>
      </c>
      <c r="Z59" s="1" t="str">
        <f t="shared" ca="1" si="11"/>
        <v/>
      </c>
      <c r="AA59" s="2" t="str">
        <f t="shared" ca="1" si="12"/>
        <v/>
      </c>
      <c r="AB59" s="2" t="str">
        <f t="shared" ca="1" si="15"/>
        <v/>
      </c>
      <c r="AC59" s="1" t="str">
        <f t="shared" ca="1" si="13"/>
        <v/>
      </c>
      <c r="AD59" t="str">
        <f t="shared" si="14"/>
        <v/>
      </c>
    </row>
    <row r="60" spans="1:30" s="2" customFormat="1">
      <c r="A60" s="30" t="str">
        <f t="shared" si="0"/>
        <v/>
      </c>
      <c r="B60" s="14"/>
      <c r="C60" s="4"/>
      <c r="D60" s="4"/>
      <c r="E60" s="90"/>
      <c r="F60" s="91"/>
      <c r="G60" s="91"/>
      <c r="H60" s="92"/>
      <c r="I60" s="14"/>
      <c r="J60" s="4"/>
      <c r="K60" s="4"/>
      <c r="L60" s="84"/>
      <c r="M60" s="85"/>
      <c r="N60" s="86"/>
      <c r="O60" s="13"/>
      <c r="P60" s="20"/>
      <c r="Q60" s="4"/>
      <c r="R60" s="66"/>
      <c r="S60" s="5"/>
      <c r="T60" s="59"/>
      <c r="U60" s="62"/>
      <c r="V60" s="53"/>
      <c r="W60" s="2" t="str">
        <f t="shared" ca="1" si="9"/>
        <v/>
      </c>
      <c r="X60" s="2">
        <f t="shared" si="10"/>
        <v>0</v>
      </c>
      <c r="Y60" s="2" t="str">
        <f t="shared" ca="1" si="3"/>
        <v/>
      </c>
      <c r="Z60" s="1" t="str">
        <f t="shared" ca="1" si="11"/>
        <v/>
      </c>
      <c r="AA60" s="2" t="str">
        <f t="shared" ca="1" si="12"/>
        <v/>
      </c>
      <c r="AB60" s="2" t="str">
        <f t="shared" ca="1" si="15"/>
        <v/>
      </c>
      <c r="AC60" s="1" t="str">
        <f t="shared" ca="1" si="13"/>
        <v/>
      </c>
      <c r="AD60" t="str">
        <f t="shared" si="14"/>
        <v/>
      </c>
    </row>
    <row r="61" spans="1:30" s="2" customFormat="1">
      <c r="A61" s="30" t="str">
        <f t="shared" si="0"/>
        <v/>
      </c>
      <c r="B61" s="14"/>
      <c r="C61" s="4"/>
      <c r="D61" s="4"/>
      <c r="E61" s="90"/>
      <c r="F61" s="91"/>
      <c r="G61" s="91"/>
      <c r="H61" s="92"/>
      <c r="I61" s="14"/>
      <c r="J61" s="4"/>
      <c r="K61" s="4"/>
      <c r="L61" s="84"/>
      <c r="M61" s="85"/>
      <c r="N61" s="86"/>
      <c r="O61" s="13"/>
      <c r="P61" s="20"/>
      <c r="Q61" s="4"/>
      <c r="R61" s="66"/>
      <c r="S61" s="5"/>
      <c r="T61" s="59"/>
      <c r="U61" s="62"/>
      <c r="V61" s="53"/>
      <c r="W61" s="2" t="str">
        <f t="shared" ca="1" si="9"/>
        <v/>
      </c>
      <c r="X61" s="2">
        <f t="shared" si="10"/>
        <v>0</v>
      </c>
      <c r="Y61" s="2" t="str">
        <f t="shared" ca="1" si="3"/>
        <v/>
      </c>
      <c r="Z61" s="1" t="str">
        <f t="shared" ca="1" si="11"/>
        <v/>
      </c>
      <c r="AA61" s="2" t="str">
        <f t="shared" ca="1" si="12"/>
        <v/>
      </c>
      <c r="AB61" s="2" t="str">
        <f t="shared" ca="1" si="15"/>
        <v/>
      </c>
      <c r="AC61" s="1" t="str">
        <f t="shared" ca="1" si="13"/>
        <v/>
      </c>
      <c r="AD61" t="str">
        <f t="shared" si="14"/>
        <v/>
      </c>
    </row>
    <row r="62" spans="1:30" s="2" customFormat="1">
      <c r="A62" s="30" t="str">
        <f t="shared" si="0"/>
        <v/>
      </c>
      <c r="B62" s="14"/>
      <c r="C62" s="4"/>
      <c r="D62" s="4"/>
      <c r="E62" s="90"/>
      <c r="F62" s="91"/>
      <c r="G62" s="91"/>
      <c r="H62" s="92"/>
      <c r="I62" s="14"/>
      <c r="J62" s="4"/>
      <c r="K62" s="4"/>
      <c r="L62" s="84"/>
      <c r="M62" s="85"/>
      <c r="N62" s="86"/>
      <c r="O62" s="13"/>
      <c r="P62" s="20"/>
      <c r="Q62" s="4"/>
      <c r="R62" s="66"/>
      <c r="S62" s="5"/>
      <c r="T62" s="59"/>
      <c r="U62" s="62"/>
      <c r="V62" s="53"/>
      <c r="W62" s="2" t="str">
        <f t="shared" ca="1" si="9"/>
        <v/>
      </c>
      <c r="X62" s="2">
        <f t="shared" si="10"/>
        <v>0</v>
      </c>
      <c r="Y62" s="2" t="str">
        <f t="shared" ca="1" si="3"/>
        <v/>
      </c>
      <c r="Z62" s="1" t="str">
        <f t="shared" ca="1" si="11"/>
        <v/>
      </c>
      <c r="AA62" s="2" t="str">
        <f t="shared" ca="1" si="12"/>
        <v/>
      </c>
      <c r="AB62" s="2" t="str">
        <f t="shared" ca="1" si="15"/>
        <v/>
      </c>
      <c r="AC62" s="1" t="str">
        <f t="shared" ca="1" si="13"/>
        <v/>
      </c>
      <c r="AD62" t="str">
        <f t="shared" si="14"/>
        <v/>
      </c>
    </row>
    <row r="63" spans="1:30" s="2" customFormat="1">
      <c r="A63" s="30" t="str">
        <f t="shared" si="0"/>
        <v/>
      </c>
      <c r="B63" s="14"/>
      <c r="C63" s="4"/>
      <c r="D63" s="4"/>
      <c r="E63" s="90"/>
      <c r="F63" s="91"/>
      <c r="G63" s="91"/>
      <c r="H63" s="92"/>
      <c r="I63" s="14"/>
      <c r="J63" s="4"/>
      <c r="K63" s="4"/>
      <c r="L63" s="84"/>
      <c r="M63" s="85"/>
      <c r="N63" s="86"/>
      <c r="O63" s="13"/>
      <c r="P63" s="20"/>
      <c r="Q63" s="4"/>
      <c r="R63" s="66"/>
      <c r="S63" s="5"/>
      <c r="T63" s="59"/>
      <c r="U63" s="62"/>
      <c r="V63" s="53"/>
      <c r="W63" s="2" t="str">
        <f t="shared" ca="1" si="9"/>
        <v/>
      </c>
      <c r="X63" s="2">
        <f t="shared" si="10"/>
        <v>0</v>
      </c>
      <c r="Y63" s="2" t="str">
        <f t="shared" ca="1" si="3"/>
        <v/>
      </c>
      <c r="Z63" s="1" t="str">
        <f t="shared" ca="1" si="11"/>
        <v/>
      </c>
      <c r="AA63" s="2" t="str">
        <f t="shared" ca="1" si="12"/>
        <v/>
      </c>
      <c r="AB63" s="2" t="str">
        <f t="shared" ca="1" si="15"/>
        <v/>
      </c>
      <c r="AC63" s="1" t="str">
        <f t="shared" ca="1" si="13"/>
        <v/>
      </c>
      <c r="AD63" t="str">
        <f t="shared" si="14"/>
        <v/>
      </c>
    </row>
    <row r="64" spans="1:30" s="2" customFormat="1">
      <c r="A64" s="30" t="str">
        <f t="shared" si="0"/>
        <v/>
      </c>
      <c r="B64" s="14"/>
      <c r="C64" s="4"/>
      <c r="D64" s="4"/>
      <c r="E64" s="90"/>
      <c r="F64" s="91"/>
      <c r="G64" s="91"/>
      <c r="H64" s="92"/>
      <c r="I64" s="14"/>
      <c r="J64" s="4"/>
      <c r="K64" s="4"/>
      <c r="L64" s="84"/>
      <c r="M64" s="85"/>
      <c r="N64" s="86"/>
      <c r="O64" s="13"/>
      <c r="P64" s="20"/>
      <c r="Q64" s="4"/>
      <c r="R64" s="66"/>
      <c r="S64" s="5"/>
      <c r="T64" s="59"/>
      <c r="U64" s="62"/>
      <c r="V64" s="53"/>
      <c r="W64" s="2" t="str">
        <f t="shared" ca="1" si="9"/>
        <v/>
      </c>
      <c r="X64" s="2">
        <f t="shared" si="10"/>
        <v>0</v>
      </c>
      <c r="Y64" s="2" t="str">
        <f t="shared" ca="1" si="3"/>
        <v/>
      </c>
      <c r="Z64" s="1" t="str">
        <f t="shared" ca="1" si="11"/>
        <v/>
      </c>
      <c r="AA64" s="2" t="str">
        <f t="shared" ca="1" si="12"/>
        <v/>
      </c>
      <c r="AB64" s="2" t="str">
        <f t="shared" ca="1" si="15"/>
        <v/>
      </c>
      <c r="AC64" s="1" t="str">
        <f t="shared" ca="1" si="13"/>
        <v/>
      </c>
      <c r="AD64" t="str">
        <f t="shared" si="14"/>
        <v/>
      </c>
    </row>
    <row r="65" spans="1:30" s="2" customFormat="1">
      <c r="A65" s="30" t="str">
        <f t="shared" si="0"/>
        <v/>
      </c>
      <c r="B65" s="14"/>
      <c r="C65" s="4"/>
      <c r="D65" s="4"/>
      <c r="E65" s="90"/>
      <c r="F65" s="91"/>
      <c r="G65" s="91"/>
      <c r="H65" s="92"/>
      <c r="I65" s="14"/>
      <c r="J65" s="4"/>
      <c r="K65" s="4"/>
      <c r="L65" s="84"/>
      <c r="M65" s="85"/>
      <c r="N65" s="86"/>
      <c r="O65" s="13"/>
      <c r="P65" s="20"/>
      <c r="Q65" s="4"/>
      <c r="R65" s="66"/>
      <c r="S65" s="5"/>
      <c r="T65" s="59"/>
      <c r="U65" s="62"/>
      <c r="V65" s="53"/>
      <c r="W65" s="2" t="str">
        <f t="shared" ca="1" si="9"/>
        <v/>
      </c>
      <c r="X65" s="2">
        <f t="shared" si="10"/>
        <v>0</v>
      </c>
      <c r="Y65" s="2" t="str">
        <f t="shared" ca="1" si="3"/>
        <v/>
      </c>
      <c r="Z65" s="1" t="str">
        <f t="shared" ca="1" si="11"/>
        <v/>
      </c>
      <c r="AA65" s="2" t="str">
        <f t="shared" ca="1" si="12"/>
        <v/>
      </c>
      <c r="AB65" s="2" t="str">
        <f t="shared" ca="1" si="15"/>
        <v/>
      </c>
      <c r="AC65" s="1" t="str">
        <f t="shared" ca="1" si="13"/>
        <v/>
      </c>
      <c r="AD65" t="str">
        <f t="shared" si="14"/>
        <v/>
      </c>
    </row>
    <row r="66" spans="1:30" s="2" customFormat="1">
      <c r="A66" s="30" t="str">
        <f t="shared" si="0"/>
        <v/>
      </c>
      <c r="B66" s="14"/>
      <c r="C66" s="4"/>
      <c r="D66" s="4"/>
      <c r="E66" s="90"/>
      <c r="F66" s="91"/>
      <c r="G66" s="91"/>
      <c r="H66" s="92"/>
      <c r="I66" s="14"/>
      <c r="J66" s="4"/>
      <c r="K66" s="4"/>
      <c r="L66" s="84"/>
      <c r="M66" s="85"/>
      <c r="N66" s="86"/>
      <c r="O66" s="13"/>
      <c r="P66" s="20"/>
      <c r="Q66" s="4"/>
      <c r="R66" s="66"/>
      <c r="S66" s="5"/>
      <c r="T66" s="59"/>
      <c r="U66" s="62"/>
      <c r="V66" s="53"/>
      <c r="W66" s="2" t="str">
        <f t="shared" ca="1" si="9"/>
        <v/>
      </c>
      <c r="X66" s="2">
        <f t="shared" si="10"/>
        <v>0</v>
      </c>
      <c r="Y66" s="2" t="str">
        <f t="shared" ca="1" si="3"/>
        <v/>
      </c>
      <c r="Z66" s="1" t="str">
        <f t="shared" ca="1" si="11"/>
        <v/>
      </c>
      <c r="AA66" s="2" t="str">
        <f t="shared" ca="1" si="12"/>
        <v/>
      </c>
      <c r="AB66" s="2" t="str">
        <f t="shared" ca="1" si="15"/>
        <v/>
      </c>
      <c r="AC66" s="1" t="str">
        <f t="shared" ca="1" si="13"/>
        <v/>
      </c>
      <c r="AD66" t="str">
        <f t="shared" si="14"/>
        <v/>
      </c>
    </row>
    <row r="67" spans="1:30" s="2" customFormat="1">
      <c r="A67" s="30" t="str">
        <f t="shared" si="0"/>
        <v/>
      </c>
      <c r="B67" s="14"/>
      <c r="C67" s="4"/>
      <c r="D67" s="4"/>
      <c r="E67" s="90"/>
      <c r="F67" s="91"/>
      <c r="G67" s="91"/>
      <c r="H67" s="92"/>
      <c r="I67" s="14"/>
      <c r="J67" s="4"/>
      <c r="K67" s="4"/>
      <c r="L67" s="84"/>
      <c r="M67" s="85"/>
      <c r="N67" s="86"/>
      <c r="O67" s="13"/>
      <c r="P67" s="20"/>
      <c r="Q67" s="4"/>
      <c r="R67" s="66"/>
      <c r="S67" s="5"/>
      <c r="T67" s="59"/>
      <c r="U67" s="62"/>
      <c r="V67" s="53"/>
      <c r="W67" s="2" t="str">
        <f t="shared" ca="1" si="9"/>
        <v/>
      </c>
      <c r="X67" s="2">
        <f t="shared" si="10"/>
        <v>0</v>
      </c>
      <c r="Y67" s="2" t="str">
        <f t="shared" ca="1" si="3"/>
        <v/>
      </c>
      <c r="Z67" s="1" t="str">
        <f t="shared" ca="1" si="11"/>
        <v/>
      </c>
      <c r="AA67" s="2" t="str">
        <f t="shared" ca="1" si="12"/>
        <v/>
      </c>
      <c r="AB67" s="2" t="str">
        <f t="shared" ca="1" si="15"/>
        <v/>
      </c>
      <c r="AC67" s="1" t="str">
        <f t="shared" ca="1" si="13"/>
        <v/>
      </c>
      <c r="AD67" t="str">
        <f t="shared" si="14"/>
        <v/>
      </c>
    </row>
    <row r="68" spans="1:30" s="2" customFormat="1">
      <c r="A68" s="30" t="str">
        <f t="shared" si="0"/>
        <v/>
      </c>
      <c r="B68" s="14"/>
      <c r="C68" s="4"/>
      <c r="D68" s="4"/>
      <c r="E68" s="90"/>
      <c r="F68" s="91"/>
      <c r="G68" s="91"/>
      <c r="H68" s="92"/>
      <c r="I68" s="14"/>
      <c r="J68" s="4"/>
      <c r="K68" s="4"/>
      <c r="L68" s="84"/>
      <c r="M68" s="85"/>
      <c r="N68" s="86"/>
      <c r="O68" s="13"/>
      <c r="P68" s="20"/>
      <c r="Q68" s="4"/>
      <c r="R68" s="66"/>
      <c r="S68" s="5"/>
      <c r="T68" s="59"/>
      <c r="U68" s="62"/>
      <c r="V68" s="53"/>
      <c r="W68" s="2" t="str">
        <f t="shared" ca="1" si="9"/>
        <v/>
      </c>
      <c r="X68" s="2">
        <f t="shared" si="10"/>
        <v>0</v>
      </c>
      <c r="Y68" s="2" t="str">
        <f t="shared" ca="1" si="3"/>
        <v/>
      </c>
      <c r="Z68" s="1" t="str">
        <f t="shared" ca="1" si="11"/>
        <v/>
      </c>
      <c r="AA68" s="2" t="str">
        <f t="shared" ca="1" si="12"/>
        <v/>
      </c>
      <c r="AB68" s="2" t="str">
        <f t="shared" ca="1" si="15"/>
        <v/>
      </c>
      <c r="AC68" s="1" t="str">
        <f t="shared" ca="1" si="13"/>
        <v/>
      </c>
      <c r="AD68" t="str">
        <f t="shared" si="14"/>
        <v/>
      </c>
    </row>
    <row r="69" spans="1:30" s="2" customFormat="1">
      <c r="A69" s="30" t="str">
        <f t="shared" ref="A69:A132" si="16">IF(NOT(COUNTA(B69:H69)),"",ROW()-4)</f>
        <v/>
      </c>
      <c r="B69" s="14"/>
      <c r="C69" s="4"/>
      <c r="D69" s="4"/>
      <c r="E69" s="90"/>
      <c r="F69" s="91"/>
      <c r="G69" s="91"/>
      <c r="H69" s="92"/>
      <c r="I69" s="14"/>
      <c r="J69" s="4"/>
      <c r="K69" s="4"/>
      <c r="L69" s="84"/>
      <c r="M69" s="85"/>
      <c r="N69" s="86"/>
      <c r="O69" s="13"/>
      <c r="P69" s="20"/>
      <c r="Q69" s="4"/>
      <c r="R69" s="66"/>
      <c r="S69" s="5"/>
      <c r="T69" s="59"/>
      <c r="U69" s="62"/>
      <c r="V69" s="53"/>
      <c r="W69" s="2" t="str">
        <f t="shared" ref="W69:W100" ca="1" si="17">IF(ISNA(VLOOKUP(P69,內容物Mapping,2,FALSE)),"",VLOOKUP(P69,內容物Mapping,2,FALSE))</f>
        <v/>
      </c>
      <c r="X69" s="2">
        <f t="shared" ref="X69:X100" si="18">IF(P69="其他",TRIM(Q69),P69)</f>
        <v>0</v>
      </c>
      <c r="Y69" s="2" t="str">
        <f t="shared" ref="Y69:Y132" ca="1" si="19">IF(ISNA(VLOOKUP(V69,未寄達處理方式Mapping,2,FALSE)),"",VLOOKUP(V69,未寄達處理方式Mapping,2,FALSE))</f>
        <v/>
      </c>
      <c r="Z69" s="1" t="str">
        <f t="shared" ref="Z69:Z100" ca="1" si="20">IF(ISNA(VLOOKUP(D69,地址類別Mapping,2,FALSE)),"",VLOOKUP(D69,地址類別Mapping,2,FALSE))</f>
        <v/>
      </c>
      <c r="AA69" s="2" t="str">
        <f t="shared" ref="AA69:AA100" ca="1" si="21">IF(ISNA(VLOOKUP(E69&amp;"-"&amp;F69,郵遞區號,2,FALSE)),"",VLOOKUP(E69&amp;"-"&amp;F69,郵遞區號,2,FALSE))</f>
        <v/>
      </c>
      <c r="AB69" s="2" t="str">
        <f t="shared" ca="1" si="15"/>
        <v/>
      </c>
      <c r="AC69" s="1" t="str">
        <f t="shared" ref="AC69:AC100" ca="1" si="22">IF(ISNA(VLOOKUP(S69,箱袋種類Mapping,2,FALSE)),"",VLOOKUP(S69,箱袋種類Mapping,2,FALSE))</f>
        <v/>
      </c>
      <c r="AD69" t="str">
        <f t="shared" ref="AD69:AD100" si="23">IF(TRIM(B69)&lt;&gt;"","202","")</f>
        <v/>
      </c>
    </row>
    <row r="70" spans="1:30" s="2" customFormat="1">
      <c r="A70" s="30" t="str">
        <f t="shared" si="16"/>
        <v/>
      </c>
      <c r="B70" s="14"/>
      <c r="C70" s="4"/>
      <c r="D70" s="4"/>
      <c r="E70" s="90"/>
      <c r="F70" s="91"/>
      <c r="G70" s="91"/>
      <c r="H70" s="92"/>
      <c r="I70" s="14"/>
      <c r="J70" s="4"/>
      <c r="K70" s="4"/>
      <c r="L70" s="84"/>
      <c r="M70" s="85"/>
      <c r="N70" s="86"/>
      <c r="O70" s="13"/>
      <c r="P70" s="20"/>
      <c r="Q70" s="4"/>
      <c r="R70" s="66"/>
      <c r="S70" s="5"/>
      <c r="T70" s="59"/>
      <c r="U70" s="62"/>
      <c r="V70" s="53"/>
      <c r="W70" s="2" t="str">
        <f t="shared" ca="1" si="17"/>
        <v/>
      </c>
      <c r="X70" s="2">
        <f t="shared" si="18"/>
        <v>0</v>
      </c>
      <c r="Y70" s="2" t="str">
        <f t="shared" ca="1" si="19"/>
        <v/>
      </c>
      <c r="Z70" s="1" t="str">
        <f t="shared" ca="1" si="20"/>
        <v/>
      </c>
      <c r="AA70" s="2" t="str">
        <f t="shared" ca="1" si="21"/>
        <v/>
      </c>
      <c r="AB70" s="2" t="str">
        <f t="shared" ca="1" si="15"/>
        <v/>
      </c>
      <c r="AC70" s="1" t="str">
        <f t="shared" ca="1" si="22"/>
        <v/>
      </c>
      <c r="AD70" t="str">
        <f t="shared" si="23"/>
        <v/>
      </c>
    </row>
    <row r="71" spans="1:30" s="2" customFormat="1">
      <c r="A71" s="30" t="str">
        <f t="shared" si="16"/>
        <v/>
      </c>
      <c r="B71" s="14"/>
      <c r="C71" s="4"/>
      <c r="D71" s="4"/>
      <c r="E71" s="90"/>
      <c r="F71" s="91"/>
      <c r="G71" s="91"/>
      <c r="H71" s="92"/>
      <c r="I71" s="14"/>
      <c r="J71" s="4"/>
      <c r="K71" s="4"/>
      <c r="L71" s="84"/>
      <c r="M71" s="85"/>
      <c r="N71" s="86"/>
      <c r="O71" s="13"/>
      <c r="P71" s="20"/>
      <c r="Q71" s="4"/>
      <c r="R71" s="66"/>
      <c r="S71" s="5"/>
      <c r="T71" s="59"/>
      <c r="U71" s="62"/>
      <c r="V71" s="53"/>
      <c r="W71" s="2" t="str">
        <f t="shared" ca="1" si="17"/>
        <v/>
      </c>
      <c r="X71" s="2">
        <f t="shared" si="18"/>
        <v>0</v>
      </c>
      <c r="Y71" s="2" t="str">
        <f t="shared" ca="1" si="19"/>
        <v/>
      </c>
      <c r="Z71" s="1" t="str">
        <f t="shared" ca="1" si="20"/>
        <v/>
      </c>
      <c r="AA71" s="2" t="str">
        <f t="shared" ca="1" si="21"/>
        <v/>
      </c>
      <c r="AB71" s="2" t="str">
        <f t="shared" ref="AB71:AB102" ca="1" si="24">IF(ISNA(VLOOKUP(L71&amp;"-"&amp;M71,郵遞區號,2,FALSE)),"",VLOOKUP(L71&amp;"-"&amp;M71,郵遞區號,2,FALSE))</f>
        <v/>
      </c>
      <c r="AC71" s="1" t="str">
        <f t="shared" ca="1" si="22"/>
        <v/>
      </c>
      <c r="AD71" t="str">
        <f t="shared" si="23"/>
        <v/>
      </c>
    </row>
    <row r="72" spans="1:30" s="2" customFormat="1">
      <c r="A72" s="30" t="str">
        <f t="shared" si="16"/>
        <v/>
      </c>
      <c r="B72" s="14"/>
      <c r="C72" s="4"/>
      <c r="D72" s="4"/>
      <c r="E72" s="90"/>
      <c r="F72" s="91"/>
      <c r="G72" s="91"/>
      <c r="H72" s="92"/>
      <c r="I72" s="14"/>
      <c r="J72" s="4"/>
      <c r="K72" s="4"/>
      <c r="L72" s="84"/>
      <c r="M72" s="85"/>
      <c r="N72" s="86"/>
      <c r="O72" s="13"/>
      <c r="P72" s="20"/>
      <c r="Q72" s="4"/>
      <c r="R72" s="66"/>
      <c r="S72" s="5"/>
      <c r="T72" s="59"/>
      <c r="U72" s="62"/>
      <c r="V72" s="53"/>
      <c r="W72" s="2" t="str">
        <f t="shared" ca="1" si="17"/>
        <v/>
      </c>
      <c r="X72" s="2">
        <f t="shared" si="18"/>
        <v>0</v>
      </c>
      <c r="Y72" s="2" t="str">
        <f t="shared" ca="1" si="19"/>
        <v/>
      </c>
      <c r="Z72" s="1" t="str">
        <f t="shared" ca="1" si="20"/>
        <v/>
      </c>
      <c r="AA72" s="2" t="str">
        <f t="shared" ca="1" si="21"/>
        <v/>
      </c>
      <c r="AB72" s="2" t="str">
        <f t="shared" ca="1" si="24"/>
        <v/>
      </c>
      <c r="AC72" s="1" t="str">
        <f t="shared" ca="1" si="22"/>
        <v/>
      </c>
      <c r="AD72" t="str">
        <f t="shared" si="23"/>
        <v/>
      </c>
    </row>
    <row r="73" spans="1:30" s="2" customFormat="1">
      <c r="A73" s="30" t="str">
        <f t="shared" si="16"/>
        <v/>
      </c>
      <c r="B73" s="14"/>
      <c r="C73" s="4"/>
      <c r="D73" s="4"/>
      <c r="E73" s="90"/>
      <c r="F73" s="91"/>
      <c r="G73" s="91"/>
      <c r="H73" s="92"/>
      <c r="I73" s="14"/>
      <c r="J73" s="4"/>
      <c r="K73" s="4"/>
      <c r="L73" s="84"/>
      <c r="M73" s="85"/>
      <c r="N73" s="86"/>
      <c r="O73" s="13"/>
      <c r="P73" s="20"/>
      <c r="Q73" s="4"/>
      <c r="R73" s="66"/>
      <c r="S73" s="5"/>
      <c r="T73" s="59"/>
      <c r="U73" s="62"/>
      <c r="V73" s="53"/>
      <c r="W73" s="2" t="str">
        <f t="shared" ca="1" si="17"/>
        <v/>
      </c>
      <c r="X73" s="2">
        <f t="shared" si="18"/>
        <v>0</v>
      </c>
      <c r="Y73" s="2" t="str">
        <f t="shared" ca="1" si="19"/>
        <v/>
      </c>
      <c r="Z73" s="1" t="str">
        <f t="shared" ca="1" si="20"/>
        <v/>
      </c>
      <c r="AA73" s="2" t="str">
        <f t="shared" ca="1" si="21"/>
        <v/>
      </c>
      <c r="AB73" s="2" t="str">
        <f t="shared" ca="1" si="24"/>
        <v/>
      </c>
      <c r="AC73" s="1" t="str">
        <f t="shared" ca="1" si="22"/>
        <v/>
      </c>
      <c r="AD73" t="str">
        <f t="shared" si="23"/>
        <v/>
      </c>
    </row>
    <row r="74" spans="1:30" s="2" customFormat="1">
      <c r="A74" s="30" t="str">
        <f t="shared" si="16"/>
        <v/>
      </c>
      <c r="B74" s="14"/>
      <c r="C74" s="4"/>
      <c r="D74" s="4"/>
      <c r="E74" s="90"/>
      <c r="F74" s="91"/>
      <c r="G74" s="91"/>
      <c r="H74" s="92"/>
      <c r="I74" s="14"/>
      <c r="J74" s="4"/>
      <c r="K74" s="4"/>
      <c r="L74" s="84"/>
      <c r="M74" s="85"/>
      <c r="N74" s="86"/>
      <c r="O74" s="13"/>
      <c r="P74" s="20"/>
      <c r="Q74" s="4"/>
      <c r="R74" s="66"/>
      <c r="S74" s="5"/>
      <c r="T74" s="59"/>
      <c r="U74" s="62"/>
      <c r="V74" s="53"/>
      <c r="W74" s="2" t="str">
        <f t="shared" ca="1" si="17"/>
        <v/>
      </c>
      <c r="X74" s="2">
        <f t="shared" si="18"/>
        <v>0</v>
      </c>
      <c r="Y74" s="2" t="str">
        <f t="shared" ca="1" si="19"/>
        <v/>
      </c>
      <c r="Z74" s="1" t="str">
        <f t="shared" ca="1" si="20"/>
        <v/>
      </c>
      <c r="AA74" s="2" t="str">
        <f t="shared" ca="1" si="21"/>
        <v/>
      </c>
      <c r="AB74" s="2" t="str">
        <f t="shared" ca="1" si="24"/>
        <v/>
      </c>
      <c r="AC74" s="1" t="str">
        <f t="shared" ca="1" si="22"/>
        <v/>
      </c>
      <c r="AD74" t="str">
        <f t="shared" si="23"/>
        <v/>
      </c>
    </row>
    <row r="75" spans="1:30" s="2" customFormat="1">
      <c r="A75" s="30" t="str">
        <f t="shared" si="16"/>
        <v/>
      </c>
      <c r="B75" s="14"/>
      <c r="C75" s="4"/>
      <c r="D75" s="4"/>
      <c r="E75" s="90"/>
      <c r="F75" s="91"/>
      <c r="G75" s="91"/>
      <c r="H75" s="92"/>
      <c r="I75" s="14"/>
      <c r="J75" s="4"/>
      <c r="K75" s="4"/>
      <c r="L75" s="84"/>
      <c r="M75" s="85"/>
      <c r="N75" s="86"/>
      <c r="O75" s="13"/>
      <c r="P75" s="20"/>
      <c r="Q75" s="4"/>
      <c r="R75" s="66"/>
      <c r="S75" s="5"/>
      <c r="T75" s="59"/>
      <c r="U75" s="62"/>
      <c r="V75" s="53"/>
      <c r="W75" s="2" t="str">
        <f t="shared" ca="1" si="17"/>
        <v/>
      </c>
      <c r="X75" s="2">
        <f t="shared" si="18"/>
        <v>0</v>
      </c>
      <c r="Y75" s="2" t="str">
        <f t="shared" ca="1" si="19"/>
        <v/>
      </c>
      <c r="Z75" s="1" t="str">
        <f t="shared" ca="1" si="20"/>
        <v/>
      </c>
      <c r="AA75" s="2" t="str">
        <f t="shared" ca="1" si="21"/>
        <v/>
      </c>
      <c r="AB75" s="2" t="str">
        <f t="shared" ca="1" si="24"/>
        <v/>
      </c>
      <c r="AC75" s="1" t="str">
        <f t="shared" ca="1" si="22"/>
        <v/>
      </c>
      <c r="AD75" t="str">
        <f t="shared" si="23"/>
        <v/>
      </c>
    </row>
    <row r="76" spans="1:30" s="2" customFormat="1">
      <c r="A76" s="30" t="str">
        <f t="shared" si="16"/>
        <v/>
      </c>
      <c r="B76" s="14"/>
      <c r="C76" s="4"/>
      <c r="D76" s="4"/>
      <c r="E76" s="90"/>
      <c r="F76" s="91"/>
      <c r="G76" s="91"/>
      <c r="H76" s="92"/>
      <c r="I76" s="14"/>
      <c r="J76" s="4"/>
      <c r="K76" s="4"/>
      <c r="L76" s="84"/>
      <c r="M76" s="85"/>
      <c r="N76" s="86"/>
      <c r="O76" s="13"/>
      <c r="P76" s="20"/>
      <c r="Q76" s="4"/>
      <c r="R76" s="66"/>
      <c r="S76" s="5"/>
      <c r="T76" s="59"/>
      <c r="U76" s="62"/>
      <c r="V76" s="53"/>
      <c r="W76" s="2" t="str">
        <f t="shared" ca="1" si="17"/>
        <v/>
      </c>
      <c r="X76" s="2">
        <f t="shared" si="18"/>
        <v>0</v>
      </c>
      <c r="Y76" s="2" t="str">
        <f t="shared" ca="1" si="19"/>
        <v/>
      </c>
      <c r="Z76" s="1" t="str">
        <f t="shared" ca="1" si="20"/>
        <v/>
      </c>
      <c r="AA76" s="2" t="str">
        <f t="shared" ca="1" si="21"/>
        <v/>
      </c>
      <c r="AB76" s="2" t="str">
        <f t="shared" ca="1" si="24"/>
        <v/>
      </c>
      <c r="AC76" s="1" t="str">
        <f t="shared" ca="1" si="22"/>
        <v/>
      </c>
      <c r="AD76" t="str">
        <f t="shared" si="23"/>
        <v/>
      </c>
    </row>
    <row r="77" spans="1:30" s="2" customFormat="1">
      <c r="A77" s="30" t="str">
        <f t="shared" si="16"/>
        <v/>
      </c>
      <c r="B77" s="14"/>
      <c r="C77" s="4"/>
      <c r="D77" s="4"/>
      <c r="E77" s="90"/>
      <c r="F77" s="91"/>
      <c r="G77" s="91"/>
      <c r="H77" s="92"/>
      <c r="I77" s="14"/>
      <c r="J77" s="4"/>
      <c r="K77" s="4"/>
      <c r="L77" s="84"/>
      <c r="M77" s="85"/>
      <c r="N77" s="86"/>
      <c r="O77" s="13"/>
      <c r="P77" s="20"/>
      <c r="Q77" s="4"/>
      <c r="R77" s="66"/>
      <c r="S77" s="5"/>
      <c r="T77" s="59"/>
      <c r="U77" s="62"/>
      <c r="V77" s="53"/>
      <c r="W77" s="2" t="str">
        <f t="shared" ca="1" si="17"/>
        <v/>
      </c>
      <c r="X77" s="2">
        <f t="shared" si="18"/>
        <v>0</v>
      </c>
      <c r="Y77" s="2" t="str">
        <f t="shared" ca="1" si="19"/>
        <v/>
      </c>
      <c r="Z77" s="1" t="str">
        <f t="shared" ca="1" si="20"/>
        <v/>
      </c>
      <c r="AA77" s="2" t="str">
        <f t="shared" ca="1" si="21"/>
        <v/>
      </c>
      <c r="AB77" s="2" t="str">
        <f t="shared" ca="1" si="24"/>
        <v/>
      </c>
      <c r="AC77" s="1" t="str">
        <f t="shared" ca="1" si="22"/>
        <v/>
      </c>
      <c r="AD77" t="str">
        <f t="shared" si="23"/>
        <v/>
      </c>
    </row>
    <row r="78" spans="1:30" s="2" customFormat="1">
      <c r="A78" s="30" t="str">
        <f t="shared" si="16"/>
        <v/>
      </c>
      <c r="B78" s="14"/>
      <c r="C78" s="4"/>
      <c r="D78" s="4"/>
      <c r="E78" s="90"/>
      <c r="F78" s="91"/>
      <c r="G78" s="91"/>
      <c r="H78" s="92"/>
      <c r="I78" s="14"/>
      <c r="J78" s="4"/>
      <c r="K78" s="4"/>
      <c r="L78" s="84"/>
      <c r="M78" s="85"/>
      <c r="N78" s="86"/>
      <c r="O78" s="13"/>
      <c r="P78" s="20"/>
      <c r="Q78" s="4"/>
      <c r="R78" s="66"/>
      <c r="S78" s="5"/>
      <c r="T78" s="59"/>
      <c r="U78" s="62"/>
      <c r="V78" s="53"/>
      <c r="W78" s="2" t="str">
        <f t="shared" ca="1" si="17"/>
        <v/>
      </c>
      <c r="X78" s="2">
        <f t="shared" si="18"/>
        <v>0</v>
      </c>
      <c r="Y78" s="2" t="str">
        <f t="shared" ca="1" si="19"/>
        <v/>
      </c>
      <c r="Z78" s="1" t="str">
        <f t="shared" ca="1" si="20"/>
        <v/>
      </c>
      <c r="AA78" s="2" t="str">
        <f t="shared" ca="1" si="21"/>
        <v/>
      </c>
      <c r="AB78" s="2" t="str">
        <f t="shared" ca="1" si="24"/>
        <v/>
      </c>
      <c r="AC78" s="1" t="str">
        <f t="shared" ca="1" si="22"/>
        <v/>
      </c>
      <c r="AD78" t="str">
        <f t="shared" si="23"/>
        <v/>
      </c>
    </row>
    <row r="79" spans="1:30" s="2" customFormat="1">
      <c r="A79" s="30" t="str">
        <f t="shared" si="16"/>
        <v/>
      </c>
      <c r="B79" s="14"/>
      <c r="C79" s="4"/>
      <c r="D79" s="4"/>
      <c r="E79" s="90"/>
      <c r="F79" s="91"/>
      <c r="G79" s="91"/>
      <c r="H79" s="92"/>
      <c r="I79" s="14"/>
      <c r="J79" s="4"/>
      <c r="K79" s="4"/>
      <c r="L79" s="84"/>
      <c r="M79" s="85"/>
      <c r="N79" s="86"/>
      <c r="O79" s="13"/>
      <c r="P79" s="20"/>
      <c r="Q79" s="4"/>
      <c r="R79" s="66"/>
      <c r="S79" s="5"/>
      <c r="T79" s="59"/>
      <c r="U79" s="62"/>
      <c r="V79" s="53"/>
      <c r="W79" s="2" t="str">
        <f t="shared" ca="1" si="17"/>
        <v/>
      </c>
      <c r="X79" s="2">
        <f t="shared" si="18"/>
        <v>0</v>
      </c>
      <c r="Y79" s="2" t="str">
        <f t="shared" ca="1" si="19"/>
        <v/>
      </c>
      <c r="Z79" s="1" t="str">
        <f t="shared" ca="1" si="20"/>
        <v/>
      </c>
      <c r="AA79" s="2" t="str">
        <f t="shared" ca="1" si="21"/>
        <v/>
      </c>
      <c r="AB79" s="2" t="str">
        <f t="shared" ca="1" si="24"/>
        <v/>
      </c>
      <c r="AC79" s="1" t="str">
        <f t="shared" ca="1" si="22"/>
        <v/>
      </c>
      <c r="AD79" t="str">
        <f t="shared" si="23"/>
        <v/>
      </c>
    </row>
    <row r="80" spans="1:30" s="2" customFormat="1">
      <c r="A80" s="30" t="str">
        <f t="shared" si="16"/>
        <v/>
      </c>
      <c r="B80" s="14"/>
      <c r="C80" s="4"/>
      <c r="D80" s="4"/>
      <c r="E80" s="90"/>
      <c r="F80" s="91"/>
      <c r="G80" s="91"/>
      <c r="H80" s="92"/>
      <c r="I80" s="14"/>
      <c r="J80" s="4"/>
      <c r="K80" s="4"/>
      <c r="L80" s="84"/>
      <c r="M80" s="85"/>
      <c r="N80" s="86"/>
      <c r="O80" s="13"/>
      <c r="P80" s="20"/>
      <c r="Q80" s="4"/>
      <c r="R80" s="66"/>
      <c r="S80" s="5"/>
      <c r="T80" s="59"/>
      <c r="U80" s="62"/>
      <c r="V80" s="53"/>
      <c r="W80" s="2" t="str">
        <f t="shared" ca="1" si="17"/>
        <v/>
      </c>
      <c r="X80" s="2">
        <f t="shared" si="18"/>
        <v>0</v>
      </c>
      <c r="Y80" s="2" t="str">
        <f t="shared" ca="1" si="19"/>
        <v/>
      </c>
      <c r="Z80" s="1" t="str">
        <f t="shared" ca="1" si="20"/>
        <v/>
      </c>
      <c r="AA80" s="2" t="str">
        <f t="shared" ca="1" si="21"/>
        <v/>
      </c>
      <c r="AB80" s="2" t="str">
        <f t="shared" ca="1" si="24"/>
        <v/>
      </c>
      <c r="AC80" s="1" t="str">
        <f t="shared" ca="1" si="22"/>
        <v/>
      </c>
      <c r="AD80" t="str">
        <f t="shared" si="23"/>
        <v/>
      </c>
    </row>
    <row r="81" spans="1:30" s="2" customFormat="1">
      <c r="A81" s="30" t="str">
        <f t="shared" si="16"/>
        <v/>
      </c>
      <c r="B81" s="14"/>
      <c r="C81" s="4"/>
      <c r="D81" s="4"/>
      <c r="E81" s="90"/>
      <c r="F81" s="91"/>
      <c r="G81" s="91"/>
      <c r="H81" s="92"/>
      <c r="I81" s="14"/>
      <c r="J81" s="4"/>
      <c r="K81" s="4"/>
      <c r="L81" s="84"/>
      <c r="M81" s="85"/>
      <c r="N81" s="86"/>
      <c r="O81" s="13"/>
      <c r="P81" s="20"/>
      <c r="Q81" s="4"/>
      <c r="R81" s="66"/>
      <c r="S81" s="5"/>
      <c r="T81" s="59"/>
      <c r="U81" s="62"/>
      <c r="V81" s="53"/>
      <c r="W81" s="2" t="str">
        <f t="shared" ca="1" si="17"/>
        <v/>
      </c>
      <c r="X81" s="2">
        <f t="shared" si="18"/>
        <v>0</v>
      </c>
      <c r="Y81" s="2" t="str">
        <f t="shared" ca="1" si="19"/>
        <v/>
      </c>
      <c r="Z81" s="1" t="str">
        <f t="shared" ca="1" si="20"/>
        <v/>
      </c>
      <c r="AA81" s="2" t="str">
        <f t="shared" ca="1" si="21"/>
        <v/>
      </c>
      <c r="AB81" s="2" t="str">
        <f t="shared" ca="1" si="24"/>
        <v/>
      </c>
      <c r="AC81" s="1" t="str">
        <f t="shared" ca="1" si="22"/>
        <v/>
      </c>
      <c r="AD81" t="str">
        <f t="shared" si="23"/>
        <v/>
      </c>
    </row>
    <row r="82" spans="1:30" s="2" customFormat="1">
      <c r="A82" s="30" t="str">
        <f t="shared" si="16"/>
        <v/>
      </c>
      <c r="B82" s="14"/>
      <c r="C82" s="4"/>
      <c r="D82" s="4"/>
      <c r="E82" s="90"/>
      <c r="F82" s="91"/>
      <c r="G82" s="91"/>
      <c r="H82" s="92"/>
      <c r="I82" s="14"/>
      <c r="J82" s="4"/>
      <c r="K82" s="4"/>
      <c r="L82" s="84"/>
      <c r="M82" s="85"/>
      <c r="N82" s="86"/>
      <c r="O82" s="13"/>
      <c r="P82" s="20"/>
      <c r="Q82" s="4"/>
      <c r="R82" s="66"/>
      <c r="S82" s="5"/>
      <c r="T82" s="59"/>
      <c r="U82" s="62"/>
      <c r="V82" s="53"/>
      <c r="W82" s="2" t="str">
        <f t="shared" ca="1" si="17"/>
        <v/>
      </c>
      <c r="X82" s="2">
        <f t="shared" si="18"/>
        <v>0</v>
      </c>
      <c r="Y82" s="2" t="str">
        <f t="shared" ca="1" si="19"/>
        <v/>
      </c>
      <c r="Z82" s="1" t="str">
        <f t="shared" ca="1" si="20"/>
        <v/>
      </c>
      <c r="AA82" s="2" t="str">
        <f t="shared" ca="1" si="21"/>
        <v/>
      </c>
      <c r="AB82" s="2" t="str">
        <f t="shared" ca="1" si="24"/>
        <v/>
      </c>
      <c r="AC82" s="1" t="str">
        <f t="shared" ca="1" si="22"/>
        <v/>
      </c>
      <c r="AD82" t="str">
        <f t="shared" si="23"/>
        <v/>
      </c>
    </row>
    <row r="83" spans="1:30" s="2" customFormat="1">
      <c r="A83" s="30" t="str">
        <f t="shared" si="16"/>
        <v/>
      </c>
      <c r="B83" s="14"/>
      <c r="C83" s="4"/>
      <c r="D83" s="4"/>
      <c r="E83" s="90"/>
      <c r="F83" s="91"/>
      <c r="G83" s="91"/>
      <c r="H83" s="92"/>
      <c r="I83" s="14"/>
      <c r="J83" s="4"/>
      <c r="K83" s="4"/>
      <c r="L83" s="84"/>
      <c r="M83" s="85"/>
      <c r="N83" s="86"/>
      <c r="O83" s="13"/>
      <c r="P83" s="20"/>
      <c r="Q83" s="4"/>
      <c r="R83" s="66"/>
      <c r="S83" s="5"/>
      <c r="T83" s="59"/>
      <c r="U83" s="62"/>
      <c r="V83" s="53"/>
      <c r="W83" s="2" t="str">
        <f t="shared" ca="1" si="17"/>
        <v/>
      </c>
      <c r="X83" s="2">
        <f t="shared" si="18"/>
        <v>0</v>
      </c>
      <c r="Y83" s="2" t="str">
        <f t="shared" ca="1" si="19"/>
        <v/>
      </c>
      <c r="Z83" s="1" t="str">
        <f t="shared" ca="1" si="20"/>
        <v/>
      </c>
      <c r="AA83" s="2" t="str">
        <f t="shared" ca="1" si="21"/>
        <v/>
      </c>
      <c r="AB83" s="2" t="str">
        <f t="shared" ca="1" si="24"/>
        <v/>
      </c>
      <c r="AC83" s="1" t="str">
        <f t="shared" ca="1" si="22"/>
        <v/>
      </c>
      <c r="AD83" t="str">
        <f t="shared" si="23"/>
        <v/>
      </c>
    </row>
    <row r="84" spans="1:30" s="2" customFormat="1">
      <c r="A84" s="30" t="str">
        <f t="shared" si="16"/>
        <v/>
      </c>
      <c r="B84" s="14"/>
      <c r="C84" s="4"/>
      <c r="D84" s="4"/>
      <c r="E84" s="90"/>
      <c r="F84" s="91"/>
      <c r="G84" s="91"/>
      <c r="H84" s="92"/>
      <c r="I84" s="14"/>
      <c r="J84" s="4"/>
      <c r="K84" s="4"/>
      <c r="L84" s="84"/>
      <c r="M84" s="85"/>
      <c r="N84" s="86"/>
      <c r="O84" s="13"/>
      <c r="P84" s="20"/>
      <c r="Q84" s="4"/>
      <c r="R84" s="66"/>
      <c r="S84" s="5"/>
      <c r="T84" s="59"/>
      <c r="U84" s="62"/>
      <c r="V84" s="53"/>
      <c r="W84" s="2" t="str">
        <f t="shared" ca="1" si="17"/>
        <v/>
      </c>
      <c r="X84" s="2">
        <f t="shared" si="18"/>
        <v>0</v>
      </c>
      <c r="Y84" s="2" t="str">
        <f t="shared" ca="1" si="19"/>
        <v/>
      </c>
      <c r="Z84" s="1" t="str">
        <f t="shared" ca="1" si="20"/>
        <v/>
      </c>
      <c r="AA84" s="2" t="str">
        <f t="shared" ca="1" si="21"/>
        <v/>
      </c>
      <c r="AB84" s="2" t="str">
        <f t="shared" ca="1" si="24"/>
        <v/>
      </c>
      <c r="AC84" s="1" t="str">
        <f t="shared" ca="1" si="22"/>
        <v/>
      </c>
      <c r="AD84" t="str">
        <f t="shared" si="23"/>
        <v/>
      </c>
    </row>
    <row r="85" spans="1:30" s="2" customFormat="1">
      <c r="A85" s="30" t="str">
        <f t="shared" si="16"/>
        <v/>
      </c>
      <c r="B85" s="14"/>
      <c r="C85" s="4"/>
      <c r="D85" s="4"/>
      <c r="E85" s="90"/>
      <c r="F85" s="91"/>
      <c r="G85" s="91"/>
      <c r="H85" s="92"/>
      <c r="I85" s="14"/>
      <c r="J85" s="4"/>
      <c r="K85" s="4"/>
      <c r="L85" s="84"/>
      <c r="M85" s="85"/>
      <c r="N85" s="86"/>
      <c r="O85" s="13"/>
      <c r="P85" s="20"/>
      <c r="Q85" s="4"/>
      <c r="R85" s="66"/>
      <c r="S85" s="5"/>
      <c r="T85" s="59"/>
      <c r="U85" s="62"/>
      <c r="V85" s="53"/>
      <c r="W85" s="2" t="str">
        <f t="shared" ca="1" si="17"/>
        <v/>
      </c>
      <c r="X85" s="2">
        <f t="shared" si="18"/>
        <v>0</v>
      </c>
      <c r="Y85" s="2" t="str">
        <f t="shared" ca="1" si="19"/>
        <v/>
      </c>
      <c r="Z85" s="1" t="str">
        <f t="shared" ca="1" si="20"/>
        <v/>
      </c>
      <c r="AA85" s="2" t="str">
        <f t="shared" ca="1" si="21"/>
        <v/>
      </c>
      <c r="AB85" s="2" t="str">
        <f t="shared" ca="1" si="24"/>
        <v/>
      </c>
      <c r="AC85" s="1" t="str">
        <f t="shared" ca="1" si="22"/>
        <v/>
      </c>
      <c r="AD85" t="str">
        <f t="shared" si="23"/>
        <v/>
      </c>
    </row>
    <row r="86" spans="1:30" s="2" customFormat="1">
      <c r="A86" s="30" t="str">
        <f t="shared" si="16"/>
        <v/>
      </c>
      <c r="B86" s="14"/>
      <c r="C86" s="4"/>
      <c r="D86" s="4"/>
      <c r="E86" s="90"/>
      <c r="F86" s="91"/>
      <c r="G86" s="91"/>
      <c r="H86" s="92"/>
      <c r="I86" s="14"/>
      <c r="J86" s="4"/>
      <c r="K86" s="4"/>
      <c r="L86" s="84"/>
      <c r="M86" s="85"/>
      <c r="N86" s="86"/>
      <c r="O86" s="13"/>
      <c r="P86" s="20"/>
      <c r="Q86" s="4"/>
      <c r="R86" s="66"/>
      <c r="S86" s="5"/>
      <c r="T86" s="59"/>
      <c r="U86" s="62"/>
      <c r="V86" s="53"/>
      <c r="W86" s="2" t="str">
        <f t="shared" ca="1" si="17"/>
        <v/>
      </c>
      <c r="X86" s="2">
        <f t="shared" si="18"/>
        <v>0</v>
      </c>
      <c r="Y86" s="2" t="str">
        <f t="shared" ca="1" si="19"/>
        <v/>
      </c>
      <c r="Z86" s="1" t="str">
        <f t="shared" ca="1" si="20"/>
        <v/>
      </c>
      <c r="AA86" s="2" t="str">
        <f t="shared" ca="1" si="21"/>
        <v/>
      </c>
      <c r="AB86" s="2" t="str">
        <f t="shared" ca="1" si="24"/>
        <v/>
      </c>
      <c r="AC86" s="1" t="str">
        <f t="shared" ca="1" si="22"/>
        <v/>
      </c>
      <c r="AD86" t="str">
        <f t="shared" si="23"/>
        <v/>
      </c>
    </row>
    <row r="87" spans="1:30" s="2" customFormat="1">
      <c r="A87" s="30" t="str">
        <f t="shared" si="16"/>
        <v/>
      </c>
      <c r="B87" s="14"/>
      <c r="C87" s="4"/>
      <c r="D87" s="4"/>
      <c r="E87" s="90"/>
      <c r="F87" s="91"/>
      <c r="G87" s="91"/>
      <c r="H87" s="92"/>
      <c r="I87" s="14"/>
      <c r="J87" s="4"/>
      <c r="K87" s="4"/>
      <c r="L87" s="84"/>
      <c r="M87" s="85"/>
      <c r="N87" s="86"/>
      <c r="O87" s="13"/>
      <c r="P87" s="20"/>
      <c r="Q87" s="4"/>
      <c r="R87" s="66"/>
      <c r="S87" s="5"/>
      <c r="T87" s="59"/>
      <c r="U87" s="62"/>
      <c r="V87" s="53"/>
      <c r="W87" s="2" t="str">
        <f t="shared" ca="1" si="17"/>
        <v/>
      </c>
      <c r="X87" s="2">
        <f t="shared" si="18"/>
        <v>0</v>
      </c>
      <c r="Y87" s="2" t="str">
        <f t="shared" ca="1" si="19"/>
        <v/>
      </c>
      <c r="Z87" s="1" t="str">
        <f t="shared" ca="1" si="20"/>
        <v/>
      </c>
      <c r="AA87" s="2" t="str">
        <f t="shared" ca="1" si="21"/>
        <v/>
      </c>
      <c r="AB87" s="2" t="str">
        <f t="shared" ca="1" si="24"/>
        <v/>
      </c>
      <c r="AC87" s="1" t="str">
        <f t="shared" ca="1" si="22"/>
        <v/>
      </c>
      <c r="AD87" t="str">
        <f t="shared" si="23"/>
        <v/>
      </c>
    </row>
    <row r="88" spans="1:30" s="2" customFormat="1">
      <c r="A88" s="30" t="str">
        <f t="shared" si="16"/>
        <v/>
      </c>
      <c r="B88" s="14"/>
      <c r="C88" s="4"/>
      <c r="D88" s="4"/>
      <c r="E88" s="90"/>
      <c r="F88" s="91"/>
      <c r="G88" s="91"/>
      <c r="H88" s="92"/>
      <c r="I88" s="14"/>
      <c r="J88" s="4"/>
      <c r="K88" s="4"/>
      <c r="L88" s="84"/>
      <c r="M88" s="85"/>
      <c r="N88" s="86"/>
      <c r="O88" s="13"/>
      <c r="P88" s="20"/>
      <c r="Q88" s="4"/>
      <c r="R88" s="66"/>
      <c r="S88" s="5"/>
      <c r="T88" s="59"/>
      <c r="U88" s="62"/>
      <c r="V88" s="53"/>
      <c r="W88" s="2" t="str">
        <f t="shared" ca="1" si="17"/>
        <v/>
      </c>
      <c r="X88" s="2">
        <f t="shared" si="18"/>
        <v>0</v>
      </c>
      <c r="Y88" s="2" t="str">
        <f t="shared" ca="1" si="19"/>
        <v/>
      </c>
      <c r="Z88" s="1" t="str">
        <f t="shared" ca="1" si="20"/>
        <v/>
      </c>
      <c r="AA88" s="2" t="str">
        <f t="shared" ca="1" si="21"/>
        <v/>
      </c>
      <c r="AB88" s="2" t="str">
        <f t="shared" ca="1" si="24"/>
        <v/>
      </c>
      <c r="AC88" s="1" t="str">
        <f t="shared" ca="1" si="22"/>
        <v/>
      </c>
      <c r="AD88" t="str">
        <f t="shared" si="23"/>
        <v/>
      </c>
    </row>
    <row r="89" spans="1:30" s="2" customFormat="1">
      <c r="A89" s="30" t="str">
        <f t="shared" si="16"/>
        <v/>
      </c>
      <c r="B89" s="14"/>
      <c r="C89" s="4"/>
      <c r="D89" s="4"/>
      <c r="E89" s="90"/>
      <c r="F89" s="91"/>
      <c r="G89" s="91"/>
      <c r="H89" s="92"/>
      <c r="I89" s="14"/>
      <c r="J89" s="4"/>
      <c r="K89" s="4"/>
      <c r="L89" s="84"/>
      <c r="M89" s="85"/>
      <c r="N89" s="86"/>
      <c r="O89" s="13"/>
      <c r="P89" s="20"/>
      <c r="Q89" s="4"/>
      <c r="R89" s="66"/>
      <c r="S89" s="5"/>
      <c r="T89" s="59"/>
      <c r="U89" s="62"/>
      <c r="V89" s="53"/>
      <c r="W89" s="2" t="str">
        <f t="shared" ca="1" si="17"/>
        <v/>
      </c>
      <c r="X89" s="2">
        <f t="shared" si="18"/>
        <v>0</v>
      </c>
      <c r="Y89" s="2" t="str">
        <f t="shared" ca="1" si="19"/>
        <v/>
      </c>
      <c r="Z89" s="1" t="str">
        <f t="shared" ca="1" si="20"/>
        <v/>
      </c>
      <c r="AA89" s="2" t="str">
        <f t="shared" ca="1" si="21"/>
        <v/>
      </c>
      <c r="AB89" s="2" t="str">
        <f t="shared" ca="1" si="24"/>
        <v/>
      </c>
      <c r="AC89" s="1" t="str">
        <f t="shared" ca="1" si="22"/>
        <v/>
      </c>
      <c r="AD89" t="str">
        <f t="shared" si="23"/>
        <v/>
      </c>
    </row>
    <row r="90" spans="1:30" s="2" customFormat="1">
      <c r="A90" s="30" t="str">
        <f t="shared" si="16"/>
        <v/>
      </c>
      <c r="B90" s="14"/>
      <c r="C90" s="4"/>
      <c r="D90" s="4"/>
      <c r="E90" s="90"/>
      <c r="F90" s="91"/>
      <c r="G90" s="91"/>
      <c r="H90" s="92"/>
      <c r="I90" s="14"/>
      <c r="J90" s="4"/>
      <c r="K90" s="4"/>
      <c r="L90" s="84"/>
      <c r="M90" s="85"/>
      <c r="N90" s="86"/>
      <c r="O90" s="13"/>
      <c r="P90" s="20"/>
      <c r="Q90" s="4"/>
      <c r="R90" s="66"/>
      <c r="S90" s="5"/>
      <c r="T90" s="59"/>
      <c r="U90" s="62"/>
      <c r="V90" s="53"/>
      <c r="W90" s="2" t="str">
        <f t="shared" ca="1" si="17"/>
        <v/>
      </c>
      <c r="X90" s="2">
        <f t="shared" si="18"/>
        <v>0</v>
      </c>
      <c r="Y90" s="2" t="str">
        <f t="shared" ca="1" si="19"/>
        <v/>
      </c>
      <c r="Z90" s="1" t="str">
        <f t="shared" ca="1" si="20"/>
        <v/>
      </c>
      <c r="AA90" s="2" t="str">
        <f t="shared" ca="1" si="21"/>
        <v/>
      </c>
      <c r="AB90" s="2" t="str">
        <f t="shared" ca="1" si="24"/>
        <v/>
      </c>
      <c r="AC90" s="1" t="str">
        <f t="shared" ca="1" si="22"/>
        <v/>
      </c>
      <c r="AD90" t="str">
        <f t="shared" si="23"/>
        <v/>
      </c>
    </row>
    <row r="91" spans="1:30" s="2" customFormat="1">
      <c r="A91" s="30" t="str">
        <f t="shared" si="16"/>
        <v/>
      </c>
      <c r="B91" s="14"/>
      <c r="C91" s="4"/>
      <c r="D91" s="4"/>
      <c r="E91" s="90"/>
      <c r="F91" s="91"/>
      <c r="G91" s="91"/>
      <c r="H91" s="92"/>
      <c r="I91" s="14"/>
      <c r="J91" s="4"/>
      <c r="K91" s="4"/>
      <c r="L91" s="84"/>
      <c r="M91" s="85"/>
      <c r="N91" s="86"/>
      <c r="O91" s="13"/>
      <c r="P91" s="20"/>
      <c r="Q91" s="4"/>
      <c r="R91" s="66"/>
      <c r="S91" s="5"/>
      <c r="T91" s="59"/>
      <c r="U91" s="62"/>
      <c r="V91" s="53"/>
      <c r="W91" s="2" t="str">
        <f t="shared" ca="1" si="17"/>
        <v/>
      </c>
      <c r="X91" s="2">
        <f t="shared" si="18"/>
        <v>0</v>
      </c>
      <c r="Y91" s="2" t="str">
        <f t="shared" ca="1" si="19"/>
        <v/>
      </c>
      <c r="Z91" s="1" t="str">
        <f t="shared" ca="1" si="20"/>
        <v/>
      </c>
      <c r="AA91" s="2" t="str">
        <f t="shared" ca="1" si="21"/>
        <v/>
      </c>
      <c r="AB91" s="2" t="str">
        <f t="shared" ca="1" si="24"/>
        <v/>
      </c>
      <c r="AC91" s="1" t="str">
        <f t="shared" ca="1" si="22"/>
        <v/>
      </c>
      <c r="AD91" t="str">
        <f t="shared" si="23"/>
        <v/>
      </c>
    </row>
    <row r="92" spans="1:30" s="2" customFormat="1">
      <c r="A92" s="30" t="str">
        <f t="shared" si="16"/>
        <v/>
      </c>
      <c r="B92" s="14"/>
      <c r="C92" s="4"/>
      <c r="D92" s="4"/>
      <c r="E92" s="90"/>
      <c r="F92" s="91"/>
      <c r="G92" s="91"/>
      <c r="H92" s="92"/>
      <c r="I92" s="14"/>
      <c r="J92" s="4"/>
      <c r="K92" s="4"/>
      <c r="L92" s="84"/>
      <c r="M92" s="85"/>
      <c r="N92" s="86"/>
      <c r="O92" s="13"/>
      <c r="P92" s="20"/>
      <c r="Q92" s="4"/>
      <c r="R92" s="66"/>
      <c r="S92" s="5"/>
      <c r="T92" s="59"/>
      <c r="U92" s="62"/>
      <c r="V92" s="53"/>
      <c r="W92" s="2" t="str">
        <f t="shared" ca="1" si="17"/>
        <v/>
      </c>
      <c r="X92" s="2">
        <f t="shared" si="18"/>
        <v>0</v>
      </c>
      <c r="Y92" s="2" t="str">
        <f t="shared" ca="1" si="19"/>
        <v/>
      </c>
      <c r="Z92" s="1" t="str">
        <f t="shared" ca="1" si="20"/>
        <v/>
      </c>
      <c r="AA92" s="2" t="str">
        <f t="shared" ca="1" si="21"/>
        <v/>
      </c>
      <c r="AB92" s="2" t="str">
        <f t="shared" ca="1" si="24"/>
        <v/>
      </c>
      <c r="AC92" s="1" t="str">
        <f t="shared" ca="1" si="22"/>
        <v/>
      </c>
      <c r="AD92" t="str">
        <f t="shared" si="23"/>
        <v/>
      </c>
    </row>
    <row r="93" spans="1:30" s="2" customFormat="1">
      <c r="A93" s="30" t="str">
        <f t="shared" si="16"/>
        <v/>
      </c>
      <c r="B93" s="14"/>
      <c r="C93" s="4"/>
      <c r="D93" s="4"/>
      <c r="E93" s="90"/>
      <c r="F93" s="91"/>
      <c r="G93" s="91"/>
      <c r="H93" s="92"/>
      <c r="I93" s="14"/>
      <c r="J93" s="4"/>
      <c r="K93" s="4"/>
      <c r="L93" s="84"/>
      <c r="M93" s="85"/>
      <c r="N93" s="86"/>
      <c r="O93" s="13"/>
      <c r="P93" s="20"/>
      <c r="Q93" s="4"/>
      <c r="R93" s="66"/>
      <c r="S93" s="5"/>
      <c r="T93" s="59"/>
      <c r="U93" s="62"/>
      <c r="V93" s="53"/>
      <c r="W93" s="2" t="str">
        <f t="shared" ca="1" si="17"/>
        <v/>
      </c>
      <c r="X93" s="2">
        <f t="shared" si="18"/>
        <v>0</v>
      </c>
      <c r="Y93" s="2" t="str">
        <f t="shared" ca="1" si="19"/>
        <v/>
      </c>
      <c r="Z93" s="1" t="str">
        <f t="shared" ca="1" si="20"/>
        <v/>
      </c>
      <c r="AA93" s="2" t="str">
        <f t="shared" ca="1" si="21"/>
        <v/>
      </c>
      <c r="AB93" s="2" t="str">
        <f t="shared" ca="1" si="24"/>
        <v/>
      </c>
      <c r="AC93" s="1" t="str">
        <f t="shared" ca="1" si="22"/>
        <v/>
      </c>
      <c r="AD93" t="str">
        <f t="shared" si="23"/>
        <v/>
      </c>
    </row>
    <row r="94" spans="1:30" s="2" customFormat="1">
      <c r="A94" s="30" t="str">
        <f t="shared" si="16"/>
        <v/>
      </c>
      <c r="B94" s="14"/>
      <c r="C94" s="4"/>
      <c r="D94" s="4"/>
      <c r="E94" s="90"/>
      <c r="F94" s="91"/>
      <c r="G94" s="91"/>
      <c r="H94" s="92"/>
      <c r="I94" s="14"/>
      <c r="J94" s="4"/>
      <c r="K94" s="4"/>
      <c r="L94" s="84"/>
      <c r="M94" s="85"/>
      <c r="N94" s="86"/>
      <c r="O94" s="13"/>
      <c r="P94" s="20"/>
      <c r="Q94" s="4"/>
      <c r="R94" s="66"/>
      <c r="S94" s="5"/>
      <c r="T94" s="59"/>
      <c r="U94" s="62"/>
      <c r="V94" s="53"/>
      <c r="W94" s="2" t="str">
        <f t="shared" ca="1" si="17"/>
        <v/>
      </c>
      <c r="X94" s="2">
        <f t="shared" si="18"/>
        <v>0</v>
      </c>
      <c r="Y94" s="2" t="str">
        <f t="shared" ca="1" si="19"/>
        <v/>
      </c>
      <c r="Z94" s="1" t="str">
        <f t="shared" ca="1" si="20"/>
        <v/>
      </c>
      <c r="AA94" s="2" t="str">
        <f t="shared" ca="1" si="21"/>
        <v/>
      </c>
      <c r="AB94" s="2" t="str">
        <f t="shared" ca="1" si="24"/>
        <v/>
      </c>
      <c r="AC94" s="1" t="str">
        <f t="shared" ca="1" si="22"/>
        <v/>
      </c>
      <c r="AD94" t="str">
        <f t="shared" si="23"/>
        <v/>
      </c>
    </row>
    <row r="95" spans="1:30" s="2" customFormat="1">
      <c r="A95" s="30" t="str">
        <f t="shared" si="16"/>
        <v/>
      </c>
      <c r="B95" s="14"/>
      <c r="C95" s="4"/>
      <c r="D95" s="4"/>
      <c r="E95" s="90"/>
      <c r="F95" s="91"/>
      <c r="G95" s="91"/>
      <c r="H95" s="92"/>
      <c r="I95" s="14"/>
      <c r="J95" s="4"/>
      <c r="K95" s="4"/>
      <c r="L95" s="84"/>
      <c r="M95" s="85"/>
      <c r="N95" s="86"/>
      <c r="O95" s="13"/>
      <c r="P95" s="20"/>
      <c r="Q95" s="4"/>
      <c r="R95" s="66"/>
      <c r="S95" s="5"/>
      <c r="T95" s="59"/>
      <c r="U95" s="62"/>
      <c r="V95" s="53"/>
      <c r="W95" s="2" t="str">
        <f t="shared" ca="1" si="17"/>
        <v/>
      </c>
      <c r="X95" s="2">
        <f t="shared" si="18"/>
        <v>0</v>
      </c>
      <c r="Y95" s="2" t="str">
        <f t="shared" ca="1" si="19"/>
        <v/>
      </c>
      <c r="Z95" s="1" t="str">
        <f t="shared" ca="1" si="20"/>
        <v/>
      </c>
      <c r="AA95" s="2" t="str">
        <f t="shared" ca="1" si="21"/>
        <v/>
      </c>
      <c r="AB95" s="2" t="str">
        <f t="shared" ca="1" si="24"/>
        <v/>
      </c>
      <c r="AC95" s="1" t="str">
        <f t="shared" ca="1" si="22"/>
        <v/>
      </c>
      <c r="AD95" t="str">
        <f t="shared" si="23"/>
        <v/>
      </c>
    </row>
    <row r="96" spans="1:30" s="2" customFormat="1">
      <c r="A96" s="30" t="str">
        <f t="shared" si="16"/>
        <v/>
      </c>
      <c r="B96" s="14"/>
      <c r="C96" s="4"/>
      <c r="D96" s="4"/>
      <c r="E96" s="90"/>
      <c r="F96" s="91"/>
      <c r="G96" s="91"/>
      <c r="H96" s="92"/>
      <c r="I96" s="14"/>
      <c r="J96" s="4"/>
      <c r="K96" s="4"/>
      <c r="L96" s="84"/>
      <c r="M96" s="85"/>
      <c r="N96" s="86"/>
      <c r="O96" s="13"/>
      <c r="P96" s="20"/>
      <c r="Q96" s="4"/>
      <c r="R96" s="66"/>
      <c r="S96" s="5"/>
      <c r="T96" s="59"/>
      <c r="U96" s="62"/>
      <c r="V96" s="53"/>
      <c r="W96" s="2" t="str">
        <f t="shared" ca="1" si="17"/>
        <v/>
      </c>
      <c r="X96" s="2">
        <f t="shared" si="18"/>
        <v>0</v>
      </c>
      <c r="Y96" s="2" t="str">
        <f t="shared" ca="1" si="19"/>
        <v/>
      </c>
      <c r="Z96" s="1" t="str">
        <f t="shared" ca="1" si="20"/>
        <v/>
      </c>
      <c r="AA96" s="2" t="str">
        <f t="shared" ca="1" si="21"/>
        <v/>
      </c>
      <c r="AB96" s="2" t="str">
        <f t="shared" ca="1" si="24"/>
        <v/>
      </c>
      <c r="AC96" s="1" t="str">
        <f t="shared" ca="1" si="22"/>
        <v/>
      </c>
      <c r="AD96" t="str">
        <f t="shared" si="23"/>
        <v/>
      </c>
    </row>
    <row r="97" spans="1:30" s="2" customFormat="1">
      <c r="A97" s="30" t="str">
        <f t="shared" si="16"/>
        <v/>
      </c>
      <c r="B97" s="14"/>
      <c r="C97" s="4"/>
      <c r="D97" s="4"/>
      <c r="E97" s="90"/>
      <c r="F97" s="91"/>
      <c r="G97" s="91"/>
      <c r="H97" s="92"/>
      <c r="I97" s="14"/>
      <c r="J97" s="4"/>
      <c r="K97" s="4"/>
      <c r="L97" s="84"/>
      <c r="M97" s="85"/>
      <c r="N97" s="86"/>
      <c r="O97" s="13"/>
      <c r="P97" s="20"/>
      <c r="Q97" s="4"/>
      <c r="R97" s="66"/>
      <c r="S97" s="5"/>
      <c r="T97" s="59"/>
      <c r="U97" s="62"/>
      <c r="V97" s="53"/>
      <c r="W97" s="2" t="str">
        <f t="shared" ca="1" si="17"/>
        <v/>
      </c>
      <c r="X97" s="2">
        <f t="shared" si="18"/>
        <v>0</v>
      </c>
      <c r="Y97" s="2" t="str">
        <f t="shared" ca="1" si="19"/>
        <v/>
      </c>
      <c r="Z97" s="1" t="str">
        <f t="shared" ca="1" si="20"/>
        <v/>
      </c>
      <c r="AA97" s="2" t="str">
        <f t="shared" ca="1" si="21"/>
        <v/>
      </c>
      <c r="AB97" s="2" t="str">
        <f t="shared" ca="1" si="24"/>
        <v/>
      </c>
      <c r="AC97" s="1" t="str">
        <f t="shared" ca="1" si="22"/>
        <v/>
      </c>
      <c r="AD97" t="str">
        <f t="shared" si="23"/>
        <v/>
      </c>
    </row>
    <row r="98" spans="1:30" s="2" customFormat="1">
      <c r="A98" s="30" t="str">
        <f t="shared" si="16"/>
        <v/>
      </c>
      <c r="B98" s="14"/>
      <c r="C98" s="4"/>
      <c r="D98" s="4"/>
      <c r="E98" s="90"/>
      <c r="F98" s="91"/>
      <c r="G98" s="91"/>
      <c r="H98" s="92"/>
      <c r="I98" s="14"/>
      <c r="J98" s="4"/>
      <c r="K98" s="4"/>
      <c r="L98" s="84"/>
      <c r="M98" s="85"/>
      <c r="N98" s="86"/>
      <c r="O98" s="13"/>
      <c r="P98" s="20"/>
      <c r="Q98" s="4"/>
      <c r="R98" s="66"/>
      <c r="S98" s="5"/>
      <c r="T98" s="59"/>
      <c r="U98" s="62"/>
      <c r="V98" s="53"/>
      <c r="W98" s="2" t="str">
        <f t="shared" ca="1" si="17"/>
        <v/>
      </c>
      <c r="X98" s="2">
        <f t="shared" si="18"/>
        <v>0</v>
      </c>
      <c r="Y98" s="2" t="str">
        <f t="shared" ca="1" si="19"/>
        <v/>
      </c>
      <c r="Z98" s="1" t="str">
        <f t="shared" ca="1" si="20"/>
        <v/>
      </c>
      <c r="AA98" s="2" t="str">
        <f t="shared" ca="1" si="21"/>
        <v/>
      </c>
      <c r="AB98" s="2" t="str">
        <f t="shared" ca="1" si="24"/>
        <v/>
      </c>
      <c r="AC98" s="1" t="str">
        <f t="shared" ca="1" si="22"/>
        <v/>
      </c>
      <c r="AD98" t="str">
        <f t="shared" si="23"/>
        <v/>
      </c>
    </row>
    <row r="99" spans="1:30" s="2" customFormat="1">
      <c r="A99" s="30" t="str">
        <f t="shared" si="16"/>
        <v/>
      </c>
      <c r="B99" s="14"/>
      <c r="C99" s="4"/>
      <c r="D99" s="4"/>
      <c r="E99" s="90"/>
      <c r="F99" s="91"/>
      <c r="G99" s="91"/>
      <c r="H99" s="92"/>
      <c r="I99" s="14"/>
      <c r="J99" s="4"/>
      <c r="K99" s="4"/>
      <c r="L99" s="84"/>
      <c r="M99" s="85"/>
      <c r="N99" s="86"/>
      <c r="O99" s="13"/>
      <c r="P99" s="20"/>
      <c r="Q99" s="4"/>
      <c r="R99" s="66"/>
      <c r="S99" s="5"/>
      <c r="T99" s="59"/>
      <c r="U99" s="62"/>
      <c r="V99" s="53"/>
      <c r="W99" s="2" t="str">
        <f t="shared" ca="1" si="17"/>
        <v/>
      </c>
      <c r="X99" s="2">
        <f t="shared" si="18"/>
        <v>0</v>
      </c>
      <c r="Y99" s="2" t="str">
        <f t="shared" ca="1" si="19"/>
        <v/>
      </c>
      <c r="Z99" s="1" t="str">
        <f t="shared" ca="1" si="20"/>
        <v/>
      </c>
      <c r="AA99" s="2" t="str">
        <f t="shared" ca="1" si="21"/>
        <v/>
      </c>
      <c r="AB99" s="2" t="str">
        <f t="shared" ca="1" si="24"/>
        <v/>
      </c>
      <c r="AC99" s="1" t="str">
        <f t="shared" ca="1" si="22"/>
        <v/>
      </c>
      <c r="AD99" t="str">
        <f t="shared" si="23"/>
        <v/>
      </c>
    </row>
    <row r="100" spans="1:30" s="2" customFormat="1">
      <c r="A100" s="30" t="str">
        <f t="shared" si="16"/>
        <v/>
      </c>
      <c r="B100" s="14"/>
      <c r="C100" s="4"/>
      <c r="D100" s="4"/>
      <c r="E100" s="90"/>
      <c r="F100" s="91"/>
      <c r="G100" s="91"/>
      <c r="H100" s="92"/>
      <c r="I100" s="14"/>
      <c r="J100" s="4"/>
      <c r="K100" s="4"/>
      <c r="L100" s="84"/>
      <c r="M100" s="85"/>
      <c r="N100" s="86"/>
      <c r="O100" s="13"/>
      <c r="P100" s="20"/>
      <c r="Q100" s="4"/>
      <c r="R100" s="66"/>
      <c r="S100" s="5"/>
      <c r="T100" s="59"/>
      <c r="U100" s="62"/>
      <c r="V100" s="53"/>
      <c r="W100" s="2" t="str">
        <f t="shared" ca="1" si="17"/>
        <v/>
      </c>
      <c r="X100" s="2">
        <f t="shared" si="18"/>
        <v>0</v>
      </c>
      <c r="Y100" s="2" t="str">
        <f t="shared" ca="1" si="19"/>
        <v/>
      </c>
      <c r="Z100" s="1" t="str">
        <f t="shared" ca="1" si="20"/>
        <v/>
      </c>
      <c r="AA100" s="2" t="str">
        <f t="shared" ca="1" si="21"/>
        <v/>
      </c>
      <c r="AB100" s="2" t="str">
        <f t="shared" ca="1" si="24"/>
        <v/>
      </c>
      <c r="AC100" s="1" t="str">
        <f t="shared" ca="1" si="22"/>
        <v/>
      </c>
      <c r="AD100" t="str">
        <f t="shared" si="23"/>
        <v/>
      </c>
    </row>
    <row r="101" spans="1:30" s="2" customFormat="1">
      <c r="A101" s="30" t="str">
        <f t="shared" si="16"/>
        <v/>
      </c>
      <c r="B101" s="14"/>
      <c r="C101" s="4"/>
      <c r="D101" s="4"/>
      <c r="E101" s="90"/>
      <c r="F101" s="91"/>
      <c r="G101" s="91"/>
      <c r="H101" s="92"/>
      <c r="I101" s="14"/>
      <c r="J101" s="4"/>
      <c r="K101" s="4"/>
      <c r="L101" s="84"/>
      <c r="M101" s="85"/>
      <c r="N101" s="86"/>
      <c r="O101" s="13"/>
      <c r="P101" s="20"/>
      <c r="Q101" s="4"/>
      <c r="R101" s="66"/>
      <c r="S101" s="5"/>
      <c r="T101" s="59"/>
      <c r="U101" s="62"/>
      <c r="V101" s="53"/>
      <c r="W101" s="2" t="str">
        <f t="shared" ref="W101:W132" ca="1" si="25">IF(ISNA(VLOOKUP(P101,內容物Mapping,2,FALSE)),"",VLOOKUP(P101,內容物Mapping,2,FALSE))</f>
        <v/>
      </c>
      <c r="X101" s="2">
        <f t="shared" ref="X101:X132" si="26">IF(P101="其他",TRIM(Q101),P101)</f>
        <v>0</v>
      </c>
      <c r="Y101" s="2" t="str">
        <f t="shared" ca="1" si="19"/>
        <v/>
      </c>
      <c r="Z101" s="1" t="str">
        <f t="shared" ref="Z101:Z132" ca="1" si="27">IF(ISNA(VLOOKUP(D101,地址類別Mapping,2,FALSE)),"",VLOOKUP(D101,地址類別Mapping,2,FALSE))</f>
        <v/>
      </c>
      <c r="AA101" s="2" t="str">
        <f t="shared" ref="AA101:AA132" ca="1" si="28">IF(ISNA(VLOOKUP(E101&amp;"-"&amp;F101,郵遞區號,2,FALSE)),"",VLOOKUP(E101&amp;"-"&amp;F101,郵遞區號,2,FALSE))</f>
        <v/>
      </c>
      <c r="AB101" s="2" t="str">
        <f t="shared" ca="1" si="24"/>
        <v/>
      </c>
      <c r="AC101" s="1" t="str">
        <f t="shared" ref="AC101:AC132" ca="1" si="29">IF(ISNA(VLOOKUP(S101,箱袋種類Mapping,2,FALSE)),"",VLOOKUP(S101,箱袋種類Mapping,2,FALSE))</f>
        <v/>
      </c>
      <c r="AD101" t="str">
        <f t="shared" ref="AD101:AD132" si="30">IF(TRIM(B101)&lt;&gt;"","202","")</f>
        <v/>
      </c>
    </row>
    <row r="102" spans="1:30" s="2" customFormat="1">
      <c r="A102" s="30" t="str">
        <f t="shared" si="16"/>
        <v/>
      </c>
      <c r="B102" s="14"/>
      <c r="C102" s="4"/>
      <c r="D102" s="4"/>
      <c r="E102" s="90"/>
      <c r="F102" s="91"/>
      <c r="G102" s="91"/>
      <c r="H102" s="92"/>
      <c r="I102" s="14"/>
      <c r="J102" s="4"/>
      <c r="K102" s="4"/>
      <c r="L102" s="84"/>
      <c r="M102" s="85"/>
      <c r="N102" s="86"/>
      <c r="O102" s="13"/>
      <c r="P102" s="20"/>
      <c r="Q102" s="4"/>
      <c r="R102" s="66"/>
      <c r="S102" s="5"/>
      <c r="T102" s="59"/>
      <c r="U102" s="62"/>
      <c r="V102" s="53"/>
      <c r="W102" s="2" t="str">
        <f t="shared" ca="1" si="25"/>
        <v/>
      </c>
      <c r="X102" s="2">
        <f t="shared" si="26"/>
        <v>0</v>
      </c>
      <c r="Y102" s="2" t="str">
        <f t="shared" ca="1" si="19"/>
        <v/>
      </c>
      <c r="Z102" s="1" t="str">
        <f t="shared" ca="1" si="27"/>
        <v/>
      </c>
      <c r="AA102" s="2" t="str">
        <f t="shared" ca="1" si="28"/>
        <v/>
      </c>
      <c r="AB102" s="2" t="str">
        <f t="shared" ca="1" si="24"/>
        <v/>
      </c>
      <c r="AC102" s="1" t="str">
        <f t="shared" ca="1" si="29"/>
        <v/>
      </c>
      <c r="AD102" t="str">
        <f t="shared" si="30"/>
        <v/>
      </c>
    </row>
    <row r="103" spans="1:30" s="2" customFormat="1">
      <c r="A103" s="30" t="str">
        <f t="shared" si="16"/>
        <v/>
      </c>
      <c r="B103" s="14"/>
      <c r="C103" s="4"/>
      <c r="D103" s="4"/>
      <c r="E103" s="90"/>
      <c r="F103" s="91"/>
      <c r="G103" s="91"/>
      <c r="H103" s="92"/>
      <c r="I103" s="14"/>
      <c r="J103" s="4"/>
      <c r="K103" s="4"/>
      <c r="L103" s="84"/>
      <c r="M103" s="85"/>
      <c r="N103" s="86"/>
      <c r="O103" s="13"/>
      <c r="P103" s="20"/>
      <c r="Q103" s="4"/>
      <c r="R103" s="66"/>
      <c r="S103" s="5"/>
      <c r="T103" s="59"/>
      <c r="U103" s="62"/>
      <c r="V103" s="53"/>
      <c r="W103" s="2" t="str">
        <f t="shared" ca="1" si="25"/>
        <v/>
      </c>
      <c r="X103" s="2">
        <f t="shared" si="26"/>
        <v>0</v>
      </c>
      <c r="Y103" s="2" t="str">
        <f t="shared" ca="1" si="19"/>
        <v/>
      </c>
      <c r="Z103" s="1" t="str">
        <f t="shared" ca="1" si="27"/>
        <v/>
      </c>
      <c r="AA103" s="2" t="str">
        <f t="shared" ca="1" si="28"/>
        <v/>
      </c>
      <c r="AB103" s="2" t="str">
        <f t="shared" ref="AB103:AB134" ca="1" si="31">IF(ISNA(VLOOKUP(L103&amp;"-"&amp;M103,郵遞區號,2,FALSE)),"",VLOOKUP(L103&amp;"-"&amp;M103,郵遞區號,2,FALSE))</f>
        <v/>
      </c>
      <c r="AC103" s="1" t="str">
        <f t="shared" ca="1" si="29"/>
        <v/>
      </c>
      <c r="AD103" t="str">
        <f t="shared" si="30"/>
        <v/>
      </c>
    </row>
    <row r="104" spans="1:30" s="2" customFormat="1">
      <c r="A104" s="30" t="str">
        <f t="shared" si="16"/>
        <v/>
      </c>
      <c r="B104" s="14"/>
      <c r="C104" s="4"/>
      <c r="D104" s="4"/>
      <c r="E104" s="90"/>
      <c r="F104" s="91"/>
      <c r="G104" s="91"/>
      <c r="H104" s="92"/>
      <c r="I104" s="14"/>
      <c r="J104" s="4"/>
      <c r="K104" s="4"/>
      <c r="L104" s="84"/>
      <c r="M104" s="85"/>
      <c r="N104" s="86"/>
      <c r="O104" s="13"/>
      <c r="P104" s="20"/>
      <c r="Q104" s="4"/>
      <c r="R104" s="66"/>
      <c r="S104" s="5"/>
      <c r="T104" s="59"/>
      <c r="U104" s="62"/>
      <c r="V104" s="53"/>
      <c r="W104" s="2" t="str">
        <f t="shared" ca="1" si="25"/>
        <v/>
      </c>
      <c r="X104" s="2">
        <f t="shared" si="26"/>
        <v>0</v>
      </c>
      <c r="Y104" s="2" t="str">
        <f t="shared" ca="1" si="19"/>
        <v/>
      </c>
      <c r="Z104" s="1" t="str">
        <f t="shared" ca="1" si="27"/>
        <v/>
      </c>
      <c r="AA104" s="2" t="str">
        <f t="shared" ca="1" si="28"/>
        <v/>
      </c>
      <c r="AB104" s="2" t="str">
        <f t="shared" ca="1" si="31"/>
        <v/>
      </c>
      <c r="AC104" s="1" t="str">
        <f t="shared" ca="1" si="29"/>
        <v/>
      </c>
      <c r="AD104" t="str">
        <f t="shared" si="30"/>
        <v/>
      </c>
    </row>
    <row r="105" spans="1:30" s="2" customFormat="1">
      <c r="A105" s="30" t="str">
        <f t="shared" si="16"/>
        <v/>
      </c>
      <c r="B105" s="14"/>
      <c r="C105" s="4"/>
      <c r="D105" s="4"/>
      <c r="E105" s="90"/>
      <c r="F105" s="91"/>
      <c r="G105" s="91"/>
      <c r="H105" s="92"/>
      <c r="I105" s="14"/>
      <c r="J105" s="4"/>
      <c r="K105" s="4"/>
      <c r="L105" s="84"/>
      <c r="M105" s="85"/>
      <c r="N105" s="86"/>
      <c r="O105" s="13"/>
      <c r="P105" s="20"/>
      <c r="Q105" s="4"/>
      <c r="R105" s="66"/>
      <c r="S105" s="5"/>
      <c r="T105" s="59"/>
      <c r="U105" s="62"/>
      <c r="V105" s="53"/>
      <c r="W105" s="2" t="str">
        <f t="shared" ca="1" si="25"/>
        <v/>
      </c>
      <c r="X105" s="2">
        <f t="shared" si="26"/>
        <v>0</v>
      </c>
      <c r="Y105" s="2" t="str">
        <f t="shared" ca="1" si="19"/>
        <v/>
      </c>
      <c r="Z105" s="1" t="str">
        <f t="shared" ca="1" si="27"/>
        <v/>
      </c>
      <c r="AA105" s="2" t="str">
        <f t="shared" ca="1" si="28"/>
        <v/>
      </c>
      <c r="AB105" s="2" t="str">
        <f t="shared" ca="1" si="31"/>
        <v/>
      </c>
      <c r="AC105" s="1" t="str">
        <f t="shared" ca="1" si="29"/>
        <v/>
      </c>
      <c r="AD105" t="str">
        <f t="shared" si="30"/>
        <v/>
      </c>
    </row>
    <row r="106" spans="1:30" s="2" customFormat="1">
      <c r="A106" s="30" t="str">
        <f t="shared" si="16"/>
        <v/>
      </c>
      <c r="B106" s="14"/>
      <c r="C106" s="4"/>
      <c r="D106" s="4"/>
      <c r="E106" s="90"/>
      <c r="F106" s="91"/>
      <c r="G106" s="91"/>
      <c r="H106" s="92"/>
      <c r="I106" s="14"/>
      <c r="J106" s="4"/>
      <c r="K106" s="4"/>
      <c r="L106" s="84"/>
      <c r="M106" s="85"/>
      <c r="N106" s="86"/>
      <c r="O106" s="13"/>
      <c r="P106" s="20"/>
      <c r="Q106" s="4"/>
      <c r="R106" s="66"/>
      <c r="S106" s="5"/>
      <c r="T106" s="59"/>
      <c r="U106" s="62"/>
      <c r="V106" s="53"/>
      <c r="W106" s="2" t="str">
        <f t="shared" ca="1" si="25"/>
        <v/>
      </c>
      <c r="X106" s="2">
        <f t="shared" si="26"/>
        <v>0</v>
      </c>
      <c r="Y106" s="2" t="str">
        <f t="shared" ca="1" si="19"/>
        <v/>
      </c>
      <c r="Z106" s="1" t="str">
        <f t="shared" ca="1" si="27"/>
        <v/>
      </c>
      <c r="AA106" s="2" t="str">
        <f t="shared" ca="1" si="28"/>
        <v/>
      </c>
      <c r="AB106" s="2" t="str">
        <f t="shared" ca="1" si="31"/>
        <v/>
      </c>
      <c r="AC106" s="1" t="str">
        <f t="shared" ca="1" si="29"/>
        <v/>
      </c>
      <c r="AD106" t="str">
        <f t="shared" si="30"/>
        <v/>
      </c>
    </row>
    <row r="107" spans="1:30" s="2" customFormat="1">
      <c r="A107" s="30" t="str">
        <f t="shared" si="16"/>
        <v/>
      </c>
      <c r="B107" s="14"/>
      <c r="C107" s="4"/>
      <c r="D107" s="4"/>
      <c r="E107" s="90"/>
      <c r="F107" s="91"/>
      <c r="G107" s="91"/>
      <c r="H107" s="92"/>
      <c r="I107" s="14"/>
      <c r="J107" s="4"/>
      <c r="K107" s="4"/>
      <c r="L107" s="84"/>
      <c r="M107" s="85"/>
      <c r="N107" s="86"/>
      <c r="O107" s="13"/>
      <c r="P107" s="20"/>
      <c r="Q107" s="4"/>
      <c r="R107" s="66"/>
      <c r="S107" s="5"/>
      <c r="T107" s="59"/>
      <c r="U107" s="62"/>
      <c r="V107" s="53"/>
      <c r="W107" s="2" t="str">
        <f t="shared" ca="1" si="25"/>
        <v/>
      </c>
      <c r="X107" s="2">
        <f t="shared" si="26"/>
        <v>0</v>
      </c>
      <c r="Y107" s="2" t="str">
        <f t="shared" ca="1" si="19"/>
        <v/>
      </c>
      <c r="Z107" s="1" t="str">
        <f t="shared" ca="1" si="27"/>
        <v/>
      </c>
      <c r="AA107" s="2" t="str">
        <f t="shared" ca="1" si="28"/>
        <v/>
      </c>
      <c r="AB107" s="2" t="str">
        <f t="shared" ca="1" si="31"/>
        <v/>
      </c>
      <c r="AC107" s="1" t="str">
        <f t="shared" ca="1" si="29"/>
        <v/>
      </c>
      <c r="AD107" t="str">
        <f t="shared" si="30"/>
        <v/>
      </c>
    </row>
    <row r="108" spans="1:30" s="2" customFormat="1">
      <c r="A108" s="30" t="str">
        <f t="shared" si="16"/>
        <v/>
      </c>
      <c r="B108" s="14"/>
      <c r="C108" s="4"/>
      <c r="D108" s="4"/>
      <c r="E108" s="90"/>
      <c r="F108" s="91"/>
      <c r="G108" s="91"/>
      <c r="H108" s="92"/>
      <c r="I108" s="14"/>
      <c r="J108" s="4"/>
      <c r="K108" s="4"/>
      <c r="L108" s="84"/>
      <c r="M108" s="85"/>
      <c r="N108" s="86"/>
      <c r="O108" s="13"/>
      <c r="P108" s="20"/>
      <c r="Q108" s="4"/>
      <c r="R108" s="66"/>
      <c r="S108" s="5"/>
      <c r="T108" s="59"/>
      <c r="U108" s="62"/>
      <c r="V108" s="53"/>
      <c r="W108" s="2" t="str">
        <f t="shared" ca="1" si="25"/>
        <v/>
      </c>
      <c r="X108" s="2">
        <f t="shared" si="26"/>
        <v>0</v>
      </c>
      <c r="Y108" s="2" t="str">
        <f t="shared" ca="1" si="19"/>
        <v/>
      </c>
      <c r="Z108" s="1" t="str">
        <f t="shared" ca="1" si="27"/>
        <v/>
      </c>
      <c r="AA108" s="2" t="str">
        <f t="shared" ca="1" si="28"/>
        <v/>
      </c>
      <c r="AB108" s="2" t="str">
        <f t="shared" ca="1" si="31"/>
        <v/>
      </c>
      <c r="AC108" s="1" t="str">
        <f t="shared" ca="1" si="29"/>
        <v/>
      </c>
      <c r="AD108" t="str">
        <f t="shared" si="30"/>
        <v/>
      </c>
    </row>
    <row r="109" spans="1:30" s="2" customFormat="1">
      <c r="A109" s="30" t="str">
        <f t="shared" si="16"/>
        <v/>
      </c>
      <c r="B109" s="14"/>
      <c r="C109" s="4"/>
      <c r="D109" s="4"/>
      <c r="E109" s="90"/>
      <c r="F109" s="91"/>
      <c r="G109" s="91"/>
      <c r="H109" s="92"/>
      <c r="I109" s="14"/>
      <c r="J109" s="4"/>
      <c r="K109" s="4"/>
      <c r="L109" s="84"/>
      <c r="M109" s="85"/>
      <c r="N109" s="86"/>
      <c r="O109" s="13"/>
      <c r="P109" s="20"/>
      <c r="Q109" s="4"/>
      <c r="R109" s="66"/>
      <c r="S109" s="5"/>
      <c r="T109" s="59"/>
      <c r="U109" s="62"/>
      <c r="V109" s="53"/>
      <c r="W109" s="2" t="str">
        <f t="shared" ca="1" si="25"/>
        <v/>
      </c>
      <c r="X109" s="2">
        <f t="shared" si="26"/>
        <v>0</v>
      </c>
      <c r="Y109" s="2" t="str">
        <f t="shared" ca="1" si="19"/>
        <v/>
      </c>
      <c r="Z109" s="1" t="str">
        <f t="shared" ca="1" si="27"/>
        <v/>
      </c>
      <c r="AA109" s="2" t="str">
        <f t="shared" ca="1" si="28"/>
        <v/>
      </c>
      <c r="AB109" s="2" t="str">
        <f t="shared" ca="1" si="31"/>
        <v/>
      </c>
      <c r="AC109" s="1" t="str">
        <f t="shared" ca="1" si="29"/>
        <v/>
      </c>
      <c r="AD109" t="str">
        <f t="shared" si="30"/>
        <v/>
      </c>
    </row>
    <row r="110" spans="1:30" s="2" customFormat="1">
      <c r="A110" s="30" t="str">
        <f t="shared" si="16"/>
        <v/>
      </c>
      <c r="B110" s="14"/>
      <c r="C110" s="4"/>
      <c r="D110" s="4"/>
      <c r="E110" s="90"/>
      <c r="F110" s="91"/>
      <c r="G110" s="91"/>
      <c r="H110" s="92"/>
      <c r="I110" s="14"/>
      <c r="J110" s="4"/>
      <c r="K110" s="4"/>
      <c r="L110" s="84"/>
      <c r="M110" s="85"/>
      <c r="N110" s="86"/>
      <c r="O110" s="13"/>
      <c r="P110" s="20"/>
      <c r="Q110" s="4"/>
      <c r="R110" s="66"/>
      <c r="S110" s="5"/>
      <c r="T110" s="59"/>
      <c r="U110" s="62"/>
      <c r="V110" s="53"/>
      <c r="W110" s="2" t="str">
        <f t="shared" ca="1" si="25"/>
        <v/>
      </c>
      <c r="X110" s="2">
        <f t="shared" si="26"/>
        <v>0</v>
      </c>
      <c r="Y110" s="2" t="str">
        <f t="shared" ca="1" si="19"/>
        <v/>
      </c>
      <c r="Z110" s="1" t="str">
        <f t="shared" ca="1" si="27"/>
        <v/>
      </c>
      <c r="AA110" s="2" t="str">
        <f t="shared" ca="1" si="28"/>
        <v/>
      </c>
      <c r="AB110" s="2" t="str">
        <f t="shared" ca="1" si="31"/>
        <v/>
      </c>
      <c r="AC110" s="1" t="str">
        <f t="shared" ca="1" si="29"/>
        <v/>
      </c>
      <c r="AD110" t="str">
        <f t="shared" si="30"/>
        <v/>
      </c>
    </row>
    <row r="111" spans="1:30" s="2" customFormat="1">
      <c r="A111" s="30" t="str">
        <f t="shared" si="16"/>
        <v/>
      </c>
      <c r="B111" s="14"/>
      <c r="C111" s="4"/>
      <c r="D111" s="4"/>
      <c r="E111" s="90"/>
      <c r="F111" s="91"/>
      <c r="G111" s="91"/>
      <c r="H111" s="92"/>
      <c r="I111" s="14"/>
      <c r="J111" s="4"/>
      <c r="K111" s="4"/>
      <c r="L111" s="84"/>
      <c r="M111" s="85"/>
      <c r="N111" s="86"/>
      <c r="O111" s="13"/>
      <c r="P111" s="20"/>
      <c r="Q111" s="4"/>
      <c r="R111" s="66"/>
      <c r="S111" s="5"/>
      <c r="T111" s="59"/>
      <c r="U111" s="62"/>
      <c r="V111" s="53"/>
      <c r="W111" s="2" t="str">
        <f t="shared" ca="1" si="25"/>
        <v/>
      </c>
      <c r="X111" s="2">
        <f t="shared" si="26"/>
        <v>0</v>
      </c>
      <c r="Y111" s="2" t="str">
        <f t="shared" ca="1" si="19"/>
        <v/>
      </c>
      <c r="Z111" s="1" t="str">
        <f t="shared" ca="1" si="27"/>
        <v/>
      </c>
      <c r="AA111" s="2" t="str">
        <f t="shared" ca="1" si="28"/>
        <v/>
      </c>
      <c r="AB111" s="2" t="str">
        <f t="shared" ca="1" si="31"/>
        <v/>
      </c>
      <c r="AC111" s="1" t="str">
        <f t="shared" ca="1" si="29"/>
        <v/>
      </c>
      <c r="AD111" t="str">
        <f t="shared" si="30"/>
        <v/>
      </c>
    </row>
    <row r="112" spans="1:30" s="2" customFormat="1">
      <c r="A112" s="30" t="str">
        <f t="shared" si="16"/>
        <v/>
      </c>
      <c r="B112" s="14"/>
      <c r="C112" s="4"/>
      <c r="D112" s="4"/>
      <c r="E112" s="90"/>
      <c r="F112" s="91"/>
      <c r="G112" s="91"/>
      <c r="H112" s="92"/>
      <c r="I112" s="14"/>
      <c r="J112" s="4"/>
      <c r="K112" s="4"/>
      <c r="L112" s="84"/>
      <c r="M112" s="85"/>
      <c r="N112" s="86"/>
      <c r="O112" s="13"/>
      <c r="P112" s="20"/>
      <c r="Q112" s="4"/>
      <c r="R112" s="66"/>
      <c r="S112" s="5"/>
      <c r="T112" s="59"/>
      <c r="U112" s="62"/>
      <c r="V112" s="53"/>
      <c r="W112" s="2" t="str">
        <f t="shared" ca="1" si="25"/>
        <v/>
      </c>
      <c r="X112" s="2">
        <f t="shared" si="26"/>
        <v>0</v>
      </c>
      <c r="Y112" s="2" t="str">
        <f t="shared" ca="1" si="19"/>
        <v/>
      </c>
      <c r="Z112" s="1" t="str">
        <f t="shared" ca="1" si="27"/>
        <v/>
      </c>
      <c r="AA112" s="2" t="str">
        <f t="shared" ca="1" si="28"/>
        <v/>
      </c>
      <c r="AB112" s="2" t="str">
        <f t="shared" ca="1" si="31"/>
        <v/>
      </c>
      <c r="AC112" s="1" t="str">
        <f t="shared" ca="1" si="29"/>
        <v/>
      </c>
      <c r="AD112" t="str">
        <f t="shared" si="30"/>
        <v/>
      </c>
    </row>
    <row r="113" spans="1:30" s="2" customFormat="1">
      <c r="A113" s="30" t="str">
        <f t="shared" si="16"/>
        <v/>
      </c>
      <c r="B113" s="14"/>
      <c r="C113" s="4"/>
      <c r="D113" s="4"/>
      <c r="E113" s="90"/>
      <c r="F113" s="91"/>
      <c r="G113" s="91"/>
      <c r="H113" s="92"/>
      <c r="I113" s="14"/>
      <c r="J113" s="4"/>
      <c r="K113" s="4"/>
      <c r="L113" s="84"/>
      <c r="M113" s="85"/>
      <c r="N113" s="86"/>
      <c r="O113" s="13"/>
      <c r="P113" s="20"/>
      <c r="Q113" s="4"/>
      <c r="R113" s="66"/>
      <c r="S113" s="5"/>
      <c r="T113" s="59"/>
      <c r="U113" s="62"/>
      <c r="V113" s="53"/>
      <c r="W113" s="2" t="str">
        <f t="shared" ca="1" si="25"/>
        <v/>
      </c>
      <c r="X113" s="2">
        <f t="shared" si="26"/>
        <v>0</v>
      </c>
      <c r="Y113" s="2" t="str">
        <f t="shared" ca="1" si="19"/>
        <v/>
      </c>
      <c r="Z113" s="1" t="str">
        <f t="shared" ca="1" si="27"/>
        <v/>
      </c>
      <c r="AA113" s="2" t="str">
        <f t="shared" ca="1" si="28"/>
        <v/>
      </c>
      <c r="AB113" s="2" t="str">
        <f t="shared" ca="1" si="31"/>
        <v/>
      </c>
      <c r="AC113" s="1" t="str">
        <f t="shared" ca="1" si="29"/>
        <v/>
      </c>
      <c r="AD113" t="str">
        <f t="shared" si="30"/>
        <v/>
      </c>
    </row>
    <row r="114" spans="1:30" s="2" customFormat="1">
      <c r="A114" s="30" t="str">
        <f t="shared" si="16"/>
        <v/>
      </c>
      <c r="B114" s="14"/>
      <c r="C114" s="4"/>
      <c r="D114" s="4"/>
      <c r="E114" s="90"/>
      <c r="F114" s="91"/>
      <c r="G114" s="91"/>
      <c r="H114" s="92"/>
      <c r="I114" s="14"/>
      <c r="J114" s="4"/>
      <c r="K114" s="4"/>
      <c r="L114" s="84"/>
      <c r="M114" s="85"/>
      <c r="N114" s="86"/>
      <c r="O114" s="13"/>
      <c r="P114" s="20"/>
      <c r="Q114" s="4"/>
      <c r="R114" s="66"/>
      <c r="S114" s="5"/>
      <c r="T114" s="59"/>
      <c r="U114" s="62"/>
      <c r="V114" s="53"/>
      <c r="W114" s="2" t="str">
        <f t="shared" ca="1" si="25"/>
        <v/>
      </c>
      <c r="X114" s="2">
        <f t="shared" si="26"/>
        <v>0</v>
      </c>
      <c r="Y114" s="2" t="str">
        <f t="shared" ca="1" si="19"/>
        <v/>
      </c>
      <c r="Z114" s="1" t="str">
        <f t="shared" ca="1" si="27"/>
        <v/>
      </c>
      <c r="AA114" s="2" t="str">
        <f t="shared" ca="1" si="28"/>
        <v/>
      </c>
      <c r="AB114" s="2" t="str">
        <f t="shared" ca="1" si="31"/>
        <v/>
      </c>
      <c r="AC114" s="1" t="str">
        <f t="shared" ca="1" si="29"/>
        <v/>
      </c>
      <c r="AD114" t="str">
        <f t="shared" si="30"/>
        <v/>
      </c>
    </row>
    <row r="115" spans="1:30" s="2" customFormat="1">
      <c r="A115" s="30" t="str">
        <f t="shared" si="16"/>
        <v/>
      </c>
      <c r="B115" s="14"/>
      <c r="C115" s="4"/>
      <c r="D115" s="4"/>
      <c r="E115" s="90"/>
      <c r="F115" s="91"/>
      <c r="G115" s="91"/>
      <c r="H115" s="92"/>
      <c r="I115" s="14"/>
      <c r="J115" s="4"/>
      <c r="K115" s="4"/>
      <c r="L115" s="84"/>
      <c r="M115" s="85"/>
      <c r="N115" s="86"/>
      <c r="O115" s="13"/>
      <c r="P115" s="20"/>
      <c r="Q115" s="4"/>
      <c r="R115" s="66"/>
      <c r="S115" s="5"/>
      <c r="T115" s="59"/>
      <c r="U115" s="62"/>
      <c r="V115" s="53"/>
      <c r="W115" s="2" t="str">
        <f t="shared" ca="1" si="25"/>
        <v/>
      </c>
      <c r="X115" s="2">
        <f t="shared" si="26"/>
        <v>0</v>
      </c>
      <c r="Y115" s="2" t="str">
        <f t="shared" ca="1" si="19"/>
        <v/>
      </c>
      <c r="Z115" s="1" t="str">
        <f t="shared" ca="1" si="27"/>
        <v/>
      </c>
      <c r="AA115" s="2" t="str">
        <f t="shared" ca="1" si="28"/>
        <v/>
      </c>
      <c r="AB115" s="2" t="str">
        <f t="shared" ca="1" si="31"/>
        <v/>
      </c>
      <c r="AC115" s="1" t="str">
        <f t="shared" ca="1" si="29"/>
        <v/>
      </c>
      <c r="AD115" t="str">
        <f t="shared" si="30"/>
        <v/>
      </c>
    </row>
    <row r="116" spans="1:30" s="2" customFormat="1">
      <c r="A116" s="30" t="str">
        <f t="shared" si="16"/>
        <v/>
      </c>
      <c r="B116" s="14"/>
      <c r="C116" s="4"/>
      <c r="D116" s="4"/>
      <c r="E116" s="90"/>
      <c r="F116" s="91"/>
      <c r="G116" s="91"/>
      <c r="H116" s="92"/>
      <c r="I116" s="14"/>
      <c r="J116" s="4"/>
      <c r="K116" s="4"/>
      <c r="L116" s="84"/>
      <c r="M116" s="85"/>
      <c r="N116" s="86"/>
      <c r="O116" s="13"/>
      <c r="P116" s="20"/>
      <c r="Q116" s="4"/>
      <c r="R116" s="66"/>
      <c r="S116" s="5"/>
      <c r="T116" s="59"/>
      <c r="U116" s="62"/>
      <c r="V116" s="53"/>
      <c r="W116" s="2" t="str">
        <f t="shared" ca="1" si="25"/>
        <v/>
      </c>
      <c r="X116" s="2">
        <f t="shared" si="26"/>
        <v>0</v>
      </c>
      <c r="Y116" s="2" t="str">
        <f t="shared" ca="1" si="19"/>
        <v/>
      </c>
      <c r="Z116" s="1" t="str">
        <f t="shared" ca="1" si="27"/>
        <v/>
      </c>
      <c r="AA116" s="2" t="str">
        <f t="shared" ca="1" si="28"/>
        <v/>
      </c>
      <c r="AB116" s="2" t="str">
        <f t="shared" ca="1" si="31"/>
        <v/>
      </c>
      <c r="AC116" s="1" t="str">
        <f t="shared" ca="1" si="29"/>
        <v/>
      </c>
      <c r="AD116" t="str">
        <f t="shared" si="30"/>
        <v/>
      </c>
    </row>
    <row r="117" spans="1:30" s="2" customFormat="1">
      <c r="A117" s="30" t="str">
        <f t="shared" si="16"/>
        <v/>
      </c>
      <c r="B117" s="14"/>
      <c r="C117" s="4"/>
      <c r="D117" s="4"/>
      <c r="E117" s="90"/>
      <c r="F117" s="91"/>
      <c r="G117" s="91"/>
      <c r="H117" s="92"/>
      <c r="I117" s="14"/>
      <c r="J117" s="4"/>
      <c r="K117" s="4"/>
      <c r="L117" s="84"/>
      <c r="M117" s="85"/>
      <c r="N117" s="86"/>
      <c r="O117" s="13"/>
      <c r="P117" s="20"/>
      <c r="Q117" s="4"/>
      <c r="R117" s="66"/>
      <c r="S117" s="5"/>
      <c r="T117" s="59"/>
      <c r="U117" s="62"/>
      <c r="V117" s="53"/>
      <c r="W117" s="2" t="str">
        <f t="shared" ca="1" si="25"/>
        <v/>
      </c>
      <c r="X117" s="2">
        <f t="shared" si="26"/>
        <v>0</v>
      </c>
      <c r="Y117" s="2" t="str">
        <f t="shared" ca="1" si="19"/>
        <v/>
      </c>
      <c r="Z117" s="1" t="str">
        <f t="shared" ca="1" si="27"/>
        <v/>
      </c>
      <c r="AA117" s="2" t="str">
        <f t="shared" ca="1" si="28"/>
        <v/>
      </c>
      <c r="AB117" s="2" t="str">
        <f t="shared" ca="1" si="31"/>
        <v/>
      </c>
      <c r="AC117" s="1" t="str">
        <f t="shared" ca="1" si="29"/>
        <v/>
      </c>
      <c r="AD117" t="str">
        <f t="shared" si="30"/>
        <v/>
      </c>
    </row>
    <row r="118" spans="1:30" s="2" customFormat="1">
      <c r="A118" s="30" t="str">
        <f t="shared" si="16"/>
        <v/>
      </c>
      <c r="B118" s="14"/>
      <c r="C118" s="4"/>
      <c r="D118" s="4"/>
      <c r="E118" s="90"/>
      <c r="F118" s="91"/>
      <c r="G118" s="91"/>
      <c r="H118" s="92"/>
      <c r="I118" s="14"/>
      <c r="J118" s="4"/>
      <c r="K118" s="4"/>
      <c r="L118" s="84"/>
      <c r="M118" s="85"/>
      <c r="N118" s="86"/>
      <c r="O118" s="13"/>
      <c r="P118" s="20"/>
      <c r="Q118" s="4"/>
      <c r="R118" s="66"/>
      <c r="S118" s="5"/>
      <c r="T118" s="59"/>
      <c r="U118" s="62"/>
      <c r="V118" s="53"/>
      <c r="W118" s="2" t="str">
        <f t="shared" ca="1" si="25"/>
        <v/>
      </c>
      <c r="X118" s="2">
        <f t="shared" si="26"/>
        <v>0</v>
      </c>
      <c r="Y118" s="2" t="str">
        <f t="shared" ca="1" si="19"/>
        <v/>
      </c>
      <c r="Z118" s="1" t="str">
        <f t="shared" ca="1" si="27"/>
        <v/>
      </c>
      <c r="AA118" s="2" t="str">
        <f t="shared" ca="1" si="28"/>
        <v/>
      </c>
      <c r="AB118" s="2" t="str">
        <f t="shared" ca="1" si="31"/>
        <v/>
      </c>
      <c r="AC118" s="1" t="str">
        <f t="shared" ca="1" si="29"/>
        <v/>
      </c>
      <c r="AD118" t="str">
        <f t="shared" si="30"/>
        <v/>
      </c>
    </row>
    <row r="119" spans="1:30" s="2" customFormat="1">
      <c r="A119" s="30" t="str">
        <f t="shared" si="16"/>
        <v/>
      </c>
      <c r="B119" s="14"/>
      <c r="C119" s="4"/>
      <c r="D119" s="4"/>
      <c r="E119" s="90"/>
      <c r="F119" s="91"/>
      <c r="G119" s="91"/>
      <c r="H119" s="92"/>
      <c r="I119" s="14"/>
      <c r="J119" s="4"/>
      <c r="K119" s="4"/>
      <c r="L119" s="84"/>
      <c r="M119" s="85"/>
      <c r="N119" s="86"/>
      <c r="O119" s="13"/>
      <c r="P119" s="20"/>
      <c r="Q119" s="4"/>
      <c r="R119" s="66"/>
      <c r="S119" s="5"/>
      <c r="T119" s="59"/>
      <c r="U119" s="62"/>
      <c r="V119" s="53"/>
      <c r="W119" s="2" t="str">
        <f t="shared" ca="1" si="25"/>
        <v/>
      </c>
      <c r="X119" s="2">
        <f t="shared" si="26"/>
        <v>0</v>
      </c>
      <c r="Y119" s="2" t="str">
        <f t="shared" ca="1" si="19"/>
        <v/>
      </c>
      <c r="Z119" s="1" t="str">
        <f t="shared" ca="1" si="27"/>
        <v/>
      </c>
      <c r="AA119" s="2" t="str">
        <f t="shared" ca="1" si="28"/>
        <v/>
      </c>
      <c r="AB119" s="2" t="str">
        <f t="shared" ca="1" si="31"/>
        <v/>
      </c>
      <c r="AC119" s="1" t="str">
        <f t="shared" ca="1" si="29"/>
        <v/>
      </c>
      <c r="AD119" t="str">
        <f t="shared" si="30"/>
        <v/>
      </c>
    </row>
    <row r="120" spans="1:30" s="2" customFormat="1">
      <c r="A120" s="30" t="str">
        <f t="shared" si="16"/>
        <v/>
      </c>
      <c r="B120" s="14"/>
      <c r="C120" s="4"/>
      <c r="D120" s="4"/>
      <c r="E120" s="90"/>
      <c r="F120" s="91"/>
      <c r="G120" s="91"/>
      <c r="H120" s="92"/>
      <c r="I120" s="14"/>
      <c r="J120" s="4"/>
      <c r="K120" s="4"/>
      <c r="L120" s="84"/>
      <c r="M120" s="85"/>
      <c r="N120" s="86"/>
      <c r="O120" s="13"/>
      <c r="P120" s="20"/>
      <c r="Q120" s="4"/>
      <c r="R120" s="66"/>
      <c r="S120" s="5"/>
      <c r="T120" s="59"/>
      <c r="U120" s="62"/>
      <c r="V120" s="53"/>
      <c r="W120" s="2" t="str">
        <f t="shared" ca="1" si="25"/>
        <v/>
      </c>
      <c r="X120" s="2">
        <f t="shared" si="26"/>
        <v>0</v>
      </c>
      <c r="Y120" s="2" t="str">
        <f t="shared" ca="1" si="19"/>
        <v/>
      </c>
      <c r="Z120" s="1" t="str">
        <f t="shared" ca="1" si="27"/>
        <v/>
      </c>
      <c r="AA120" s="2" t="str">
        <f t="shared" ca="1" si="28"/>
        <v/>
      </c>
      <c r="AB120" s="2" t="str">
        <f t="shared" ca="1" si="31"/>
        <v/>
      </c>
      <c r="AC120" s="1" t="str">
        <f t="shared" ca="1" si="29"/>
        <v/>
      </c>
      <c r="AD120" t="str">
        <f t="shared" si="30"/>
        <v/>
      </c>
    </row>
    <row r="121" spans="1:30" s="2" customFormat="1">
      <c r="A121" s="30" t="str">
        <f t="shared" si="16"/>
        <v/>
      </c>
      <c r="B121" s="14"/>
      <c r="C121" s="4"/>
      <c r="D121" s="4"/>
      <c r="E121" s="90"/>
      <c r="F121" s="91"/>
      <c r="G121" s="91"/>
      <c r="H121" s="92"/>
      <c r="I121" s="14"/>
      <c r="J121" s="4"/>
      <c r="K121" s="4"/>
      <c r="L121" s="84"/>
      <c r="M121" s="85"/>
      <c r="N121" s="86"/>
      <c r="O121" s="13"/>
      <c r="P121" s="20"/>
      <c r="Q121" s="4"/>
      <c r="R121" s="66"/>
      <c r="S121" s="5"/>
      <c r="T121" s="59"/>
      <c r="U121" s="62"/>
      <c r="V121" s="53"/>
      <c r="W121" s="2" t="str">
        <f t="shared" ca="1" si="25"/>
        <v/>
      </c>
      <c r="X121" s="2">
        <f t="shared" si="26"/>
        <v>0</v>
      </c>
      <c r="Y121" s="2" t="str">
        <f t="shared" ca="1" si="19"/>
        <v/>
      </c>
      <c r="Z121" s="1" t="str">
        <f t="shared" ca="1" si="27"/>
        <v/>
      </c>
      <c r="AA121" s="2" t="str">
        <f t="shared" ca="1" si="28"/>
        <v/>
      </c>
      <c r="AB121" s="2" t="str">
        <f t="shared" ca="1" si="31"/>
        <v/>
      </c>
      <c r="AC121" s="1" t="str">
        <f t="shared" ca="1" si="29"/>
        <v/>
      </c>
      <c r="AD121" t="str">
        <f t="shared" si="30"/>
        <v/>
      </c>
    </row>
    <row r="122" spans="1:30" s="2" customFormat="1">
      <c r="A122" s="30" t="str">
        <f t="shared" si="16"/>
        <v/>
      </c>
      <c r="B122" s="14"/>
      <c r="C122" s="4"/>
      <c r="D122" s="4"/>
      <c r="E122" s="90"/>
      <c r="F122" s="91"/>
      <c r="G122" s="91"/>
      <c r="H122" s="92"/>
      <c r="I122" s="14"/>
      <c r="J122" s="4"/>
      <c r="K122" s="4"/>
      <c r="L122" s="84"/>
      <c r="M122" s="85"/>
      <c r="N122" s="86"/>
      <c r="O122" s="13"/>
      <c r="P122" s="20"/>
      <c r="Q122" s="4"/>
      <c r="R122" s="66"/>
      <c r="S122" s="5"/>
      <c r="T122" s="59"/>
      <c r="U122" s="62"/>
      <c r="V122" s="53"/>
      <c r="W122" s="2" t="str">
        <f t="shared" ca="1" si="25"/>
        <v/>
      </c>
      <c r="X122" s="2">
        <f t="shared" si="26"/>
        <v>0</v>
      </c>
      <c r="Y122" s="2" t="str">
        <f t="shared" ca="1" si="19"/>
        <v/>
      </c>
      <c r="Z122" s="1" t="str">
        <f t="shared" ca="1" si="27"/>
        <v/>
      </c>
      <c r="AA122" s="2" t="str">
        <f t="shared" ca="1" si="28"/>
        <v/>
      </c>
      <c r="AB122" s="2" t="str">
        <f t="shared" ca="1" si="31"/>
        <v/>
      </c>
      <c r="AC122" s="1" t="str">
        <f t="shared" ca="1" si="29"/>
        <v/>
      </c>
      <c r="AD122" t="str">
        <f t="shared" si="30"/>
        <v/>
      </c>
    </row>
    <row r="123" spans="1:30" s="2" customFormat="1">
      <c r="A123" s="30" t="str">
        <f t="shared" si="16"/>
        <v/>
      </c>
      <c r="B123" s="14"/>
      <c r="C123" s="4"/>
      <c r="D123" s="4"/>
      <c r="E123" s="90"/>
      <c r="F123" s="91"/>
      <c r="G123" s="91"/>
      <c r="H123" s="92"/>
      <c r="I123" s="14"/>
      <c r="J123" s="4"/>
      <c r="K123" s="4"/>
      <c r="L123" s="84"/>
      <c r="M123" s="85"/>
      <c r="N123" s="86"/>
      <c r="O123" s="13"/>
      <c r="P123" s="20"/>
      <c r="Q123" s="4"/>
      <c r="R123" s="66"/>
      <c r="S123" s="5"/>
      <c r="T123" s="59"/>
      <c r="U123" s="62"/>
      <c r="V123" s="53"/>
      <c r="W123" s="2" t="str">
        <f t="shared" ca="1" si="25"/>
        <v/>
      </c>
      <c r="X123" s="2">
        <f t="shared" si="26"/>
        <v>0</v>
      </c>
      <c r="Y123" s="2" t="str">
        <f t="shared" ca="1" si="19"/>
        <v/>
      </c>
      <c r="Z123" s="1" t="str">
        <f t="shared" ca="1" si="27"/>
        <v/>
      </c>
      <c r="AA123" s="2" t="str">
        <f t="shared" ca="1" si="28"/>
        <v/>
      </c>
      <c r="AB123" s="2" t="str">
        <f t="shared" ca="1" si="31"/>
        <v/>
      </c>
      <c r="AC123" s="1" t="str">
        <f t="shared" ca="1" si="29"/>
        <v/>
      </c>
      <c r="AD123" t="str">
        <f t="shared" si="30"/>
        <v/>
      </c>
    </row>
    <row r="124" spans="1:30" s="2" customFormat="1">
      <c r="A124" s="30" t="str">
        <f t="shared" si="16"/>
        <v/>
      </c>
      <c r="B124" s="14"/>
      <c r="C124" s="4"/>
      <c r="D124" s="4"/>
      <c r="E124" s="90"/>
      <c r="F124" s="91"/>
      <c r="G124" s="91"/>
      <c r="H124" s="92"/>
      <c r="I124" s="14"/>
      <c r="J124" s="4"/>
      <c r="K124" s="4"/>
      <c r="L124" s="84"/>
      <c r="M124" s="85"/>
      <c r="N124" s="86"/>
      <c r="O124" s="13"/>
      <c r="P124" s="20"/>
      <c r="Q124" s="4"/>
      <c r="R124" s="66"/>
      <c r="S124" s="5"/>
      <c r="T124" s="59"/>
      <c r="U124" s="62"/>
      <c r="V124" s="53"/>
      <c r="W124" s="2" t="str">
        <f t="shared" ca="1" si="25"/>
        <v/>
      </c>
      <c r="X124" s="2">
        <f t="shared" si="26"/>
        <v>0</v>
      </c>
      <c r="Y124" s="2" t="str">
        <f t="shared" ca="1" si="19"/>
        <v/>
      </c>
      <c r="Z124" s="1" t="str">
        <f t="shared" ca="1" si="27"/>
        <v/>
      </c>
      <c r="AA124" s="2" t="str">
        <f t="shared" ca="1" si="28"/>
        <v/>
      </c>
      <c r="AB124" s="2" t="str">
        <f t="shared" ca="1" si="31"/>
        <v/>
      </c>
      <c r="AC124" s="1" t="str">
        <f t="shared" ca="1" si="29"/>
        <v/>
      </c>
      <c r="AD124" t="str">
        <f t="shared" si="30"/>
        <v/>
      </c>
    </row>
    <row r="125" spans="1:30" s="2" customFormat="1">
      <c r="A125" s="30" t="str">
        <f t="shared" si="16"/>
        <v/>
      </c>
      <c r="B125" s="14"/>
      <c r="C125" s="4"/>
      <c r="D125" s="4"/>
      <c r="E125" s="90"/>
      <c r="F125" s="91"/>
      <c r="G125" s="91"/>
      <c r="H125" s="92"/>
      <c r="I125" s="14"/>
      <c r="J125" s="4"/>
      <c r="K125" s="4"/>
      <c r="L125" s="84"/>
      <c r="M125" s="85"/>
      <c r="N125" s="86"/>
      <c r="O125" s="13"/>
      <c r="P125" s="20"/>
      <c r="Q125" s="4"/>
      <c r="R125" s="66"/>
      <c r="S125" s="5"/>
      <c r="T125" s="59"/>
      <c r="U125" s="62"/>
      <c r="V125" s="53"/>
      <c r="W125" s="2" t="str">
        <f t="shared" ca="1" si="25"/>
        <v/>
      </c>
      <c r="X125" s="2">
        <f t="shared" si="26"/>
        <v>0</v>
      </c>
      <c r="Y125" s="2" t="str">
        <f t="shared" ca="1" si="19"/>
        <v/>
      </c>
      <c r="Z125" s="1" t="str">
        <f t="shared" ca="1" si="27"/>
        <v/>
      </c>
      <c r="AA125" s="2" t="str">
        <f t="shared" ca="1" si="28"/>
        <v/>
      </c>
      <c r="AB125" s="2" t="str">
        <f t="shared" ca="1" si="31"/>
        <v/>
      </c>
      <c r="AC125" s="1" t="str">
        <f t="shared" ca="1" si="29"/>
        <v/>
      </c>
      <c r="AD125" t="str">
        <f t="shared" si="30"/>
        <v/>
      </c>
    </row>
    <row r="126" spans="1:30" s="2" customFormat="1">
      <c r="A126" s="30" t="str">
        <f t="shared" si="16"/>
        <v/>
      </c>
      <c r="B126" s="14"/>
      <c r="C126" s="4"/>
      <c r="D126" s="4"/>
      <c r="E126" s="90"/>
      <c r="F126" s="91"/>
      <c r="G126" s="91"/>
      <c r="H126" s="92"/>
      <c r="I126" s="14"/>
      <c r="J126" s="4"/>
      <c r="K126" s="4"/>
      <c r="L126" s="84"/>
      <c r="M126" s="85"/>
      <c r="N126" s="86"/>
      <c r="O126" s="13"/>
      <c r="P126" s="20"/>
      <c r="Q126" s="4"/>
      <c r="R126" s="66"/>
      <c r="S126" s="5"/>
      <c r="T126" s="59"/>
      <c r="U126" s="62"/>
      <c r="V126" s="53"/>
      <c r="W126" s="2" t="str">
        <f t="shared" ca="1" si="25"/>
        <v/>
      </c>
      <c r="X126" s="2">
        <f t="shared" si="26"/>
        <v>0</v>
      </c>
      <c r="Y126" s="2" t="str">
        <f t="shared" ca="1" si="19"/>
        <v/>
      </c>
      <c r="Z126" s="1" t="str">
        <f t="shared" ca="1" si="27"/>
        <v/>
      </c>
      <c r="AA126" s="2" t="str">
        <f t="shared" ca="1" si="28"/>
        <v/>
      </c>
      <c r="AB126" s="2" t="str">
        <f t="shared" ca="1" si="31"/>
        <v/>
      </c>
      <c r="AC126" s="1" t="str">
        <f t="shared" ca="1" si="29"/>
        <v/>
      </c>
      <c r="AD126" t="str">
        <f t="shared" si="30"/>
        <v/>
      </c>
    </row>
    <row r="127" spans="1:30" s="2" customFormat="1">
      <c r="A127" s="30" t="str">
        <f t="shared" si="16"/>
        <v/>
      </c>
      <c r="B127" s="14"/>
      <c r="C127" s="4"/>
      <c r="D127" s="4"/>
      <c r="E127" s="90"/>
      <c r="F127" s="91"/>
      <c r="G127" s="91"/>
      <c r="H127" s="92"/>
      <c r="I127" s="14"/>
      <c r="J127" s="4"/>
      <c r="K127" s="4"/>
      <c r="L127" s="84"/>
      <c r="M127" s="85"/>
      <c r="N127" s="86"/>
      <c r="O127" s="13"/>
      <c r="P127" s="20"/>
      <c r="Q127" s="4"/>
      <c r="R127" s="66"/>
      <c r="S127" s="5"/>
      <c r="T127" s="59"/>
      <c r="U127" s="62"/>
      <c r="V127" s="53"/>
      <c r="W127" s="2" t="str">
        <f t="shared" ca="1" si="25"/>
        <v/>
      </c>
      <c r="X127" s="2">
        <f t="shared" si="26"/>
        <v>0</v>
      </c>
      <c r="Y127" s="2" t="str">
        <f t="shared" ca="1" si="19"/>
        <v/>
      </c>
      <c r="Z127" s="1" t="str">
        <f t="shared" ca="1" si="27"/>
        <v/>
      </c>
      <c r="AA127" s="2" t="str">
        <f t="shared" ca="1" si="28"/>
        <v/>
      </c>
      <c r="AB127" s="2" t="str">
        <f t="shared" ca="1" si="31"/>
        <v/>
      </c>
      <c r="AC127" s="1" t="str">
        <f t="shared" ca="1" si="29"/>
        <v/>
      </c>
      <c r="AD127" t="str">
        <f t="shared" si="30"/>
        <v/>
      </c>
    </row>
    <row r="128" spans="1:30" s="2" customFormat="1">
      <c r="A128" s="30" t="str">
        <f t="shared" si="16"/>
        <v/>
      </c>
      <c r="B128" s="14"/>
      <c r="C128" s="4"/>
      <c r="D128" s="4"/>
      <c r="E128" s="90"/>
      <c r="F128" s="91"/>
      <c r="G128" s="91"/>
      <c r="H128" s="92"/>
      <c r="I128" s="14"/>
      <c r="J128" s="4"/>
      <c r="K128" s="4"/>
      <c r="L128" s="84"/>
      <c r="M128" s="85"/>
      <c r="N128" s="86"/>
      <c r="O128" s="13"/>
      <c r="P128" s="20"/>
      <c r="Q128" s="4"/>
      <c r="R128" s="66"/>
      <c r="S128" s="5"/>
      <c r="T128" s="59"/>
      <c r="U128" s="62"/>
      <c r="V128" s="53"/>
      <c r="W128" s="2" t="str">
        <f t="shared" ca="1" si="25"/>
        <v/>
      </c>
      <c r="X128" s="2">
        <f t="shared" si="26"/>
        <v>0</v>
      </c>
      <c r="Y128" s="2" t="str">
        <f t="shared" ca="1" si="19"/>
        <v/>
      </c>
      <c r="Z128" s="1" t="str">
        <f t="shared" ca="1" si="27"/>
        <v/>
      </c>
      <c r="AA128" s="2" t="str">
        <f t="shared" ca="1" si="28"/>
        <v/>
      </c>
      <c r="AB128" s="2" t="str">
        <f t="shared" ca="1" si="31"/>
        <v/>
      </c>
      <c r="AC128" s="1" t="str">
        <f t="shared" ca="1" si="29"/>
        <v/>
      </c>
      <c r="AD128" t="str">
        <f t="shared" si="30"/>
        <v/>
      </c>
    </row>
    <row r="129" spans="1:30" s="2" customFormat="1">
      <c r="A129" s="30" t="str">
        <f t="shared" si="16"/>
        <v/>
      </c>
      <c r="B129" s="14"/>
      <c r="C129" s="4"/>
      <c r="D129" s="4"/>
      <c r="E129" s="90"/>
      <c r="F129" s="91"/>
      <c r="G129" s="91"/>
      <c r="H129" s="92"/>
      <c r="I129" s="14"/>
      <c r="J129" s="4"/>
      <c r="K129" s="4"/>
      <c r="L129" s="84"/>
      <c r="M129" s="85"/>
      <c r="N129" s="86"/>
      <c r="O129" s="13"/>
      <c r="P129" s="20"/>
      <c r="Q129" s="4"/>
      <c r="R129" s="66"/>
      <c r="S129" s="5"/>
      <c r="T129" s="59"/>
      <c r="U129" s="62"/>
      <c r="V129" s="53"/>
      <c r="W129" s="2" t="str">
        <f t="shared" ca="1" si="25"/>
        <v/>
      </c>
      <c r="X129" s="2">
        <f t="shared" si="26"/>
        <v>0</v>
      </c>
      <c r="Y129" s="2" t="str">
        <f t="shared" ca="1" si="19"/>
        <v/>
      </c>
      <c r="Z129" s="1" t="str">
        <f t="shared" ca="1" si="27"/>
        <v/>
      </c>
      <c r="AA129" s="2" t="str">
        <f t="shared" ca="1" si="28"/>
        <v/>
      </c>
      <c r="AB129" s="2" t="str">
        <f t="shared" ca="1" si="31"/>
        <v/>
      </c>
      <c r="AC129" s="1" t="str">
        <f t="shared" ca="1" si="29"/>
        <v/>
      </c>
      <c r="AD129" t="str">
        <f t="shared" si="30"/>
        <v/>
      </c>
    </row>
    <row r="130" spans="1:30" s="2" customFormat="1">
      <c r="A130" s="30" t="str">
        <f t="shared" si="16"/>
        <v/>
      </c>
      <c r="B130" s="14"/>
      <c r="C130" s="4"/>
      <c r="D130" s="4"/>
      <c r="E130" s="90"/>
      <c r="F130" s="91"/>
      <c r="G130" s="91"/>
      <c r="H130" s="92"/>
      <c r="I130" s="14"/>
      <c r="J130" s="4"/>
      <c r="K130" s="4"/>
      <c r="L130" s="84"/>
      <c r="M130" s="85"/>
      <c r="N130" s="86"/>
      <c r="O130" s="13"/>
      <c r="P130" s="20"/>
      <c r="Q130" s="4"/>
      <c r="R130" s="66"/>
      <c r="S130" s="5"/>
      <c r="T130" s="59"/>
      <c r="U130" s="62"/>
      <c r="V130" s="53"/>
      <c r="W130" s="2" t="str">
        <f t="shared" ca="1" si="25"/>
        <v/>
      </c>
      <c r="X130" s="2">
        <f t="shared" si="26"/>
        <v>0</v>
      </c>
      <c r="Y130" s="2" t="str">
        <f t="shared" ca="1" si="19"/>
        <v/>
      </c>
      <c r="Z130" s="1" t="str">
        <f t="shared" ca="1" si="27"/>
        <v/>
      </c>
      <c r="AA130" s="2" t="str">
        <f t="shared" ca="1" si="28"/>
        <v/>
      </c>
      <c r="AB130" s="2" t="str">
        <f t="shared" ca="1" si="31"/>
        <v/>
      </c>
      <c r="AC130" s="1" t="str">
        <f t="shared" ca="1" si="29"/>
        <v/>
      </c>
      <c r="AD130" t="str">
        <f t="shared" si="30"/>
        <v/>
      </c>
    </row>
    <row r="131" spans="1:30" s="2" customFormat="1">
      <c r="A131" s="30" t="str">
        <f t="shared" si="16"/>
        <v/>
      </c>
      <c r="B131" s="14"/>
      <c r="C131" s="4"/>
      <c r="D131" s="4"/>
      <c r="E131" s="90"/>
      <c r="F131" s="91"/>
      <c r="G131" s="91"/>
      <c r="H131" s="92"/>
      <c r="I131" s="14"/>
      <c r="J131" s="4"/>
      <c r="K131" s="4"/>
      <c r="L131" s="84"/>
      <c r="M131" s="85"/>
      <c r="N131" s="86"/>
      <c r="O131" s="13"/>
      <c r="P131" s="20"/>
      <c r="Q131" s="4"/>
      <c r="R131" s="66"/>
      <c r="S131" s="5"/>
      <c r="T131" s="59"/>
      <c r="U131" s="62"/>
      <c r="V131" s="53"/>
      <c r="W131" s="2" t="str">
        <f t="shared" ca="1" si="25"/>
        <v/>
      </c>
      <c r="X131" s="2">
        <f t="shared" si="26"/>
        <v>0</v>
      </c>
      <c r="Y131" s="2" t="str">
        <f t="shared" ca="1" si="19"/>
        <v/>
      </c>
      <c r="Z131" s="1" t="str">
        <f t="shared" ca="1" si="27"/>
        <v/>
      </c>
      <c r="AA131" s="2" t="str">
        <f t="shared" ca="1" si="28"/>
        <v/>
      </c>
      <c r="AB131" s="2" t="str">
        <f t="shared" ca="1" si="31"/>
        <v/>
      </c>
      <c r="AC131" s="1" t="str">
        <f t="shared" ca="1" si="29"/>
        <v/>
      </c>
      <c r="AD131" t="str">
        <f t="shared" si="30"/>
        <v/>
      </c>
    </row>
    <row r="132" spans="1:30" s="2" customFormat="1">
      <c r="A132" s="30" t="str">
        <f t="shared" si="16"/>
        <v/>
      </c>
      <c r="B132" s="14"/>
      <c r="C132" s="4"/>
      <c r="D132" s="4"/>
      <c r="E132" s="90"/>
      <c r="F132" s="91"/>
      <c r="G132" s="91"/>
      <c r="H132" s="92"/>
      <c r="I132" s="14"/>
      <c r="J132" s="4"/>
      <c r="K132" s="4"/>
      <c r="L132" s="84"/>
      <c r="M132" s="85"/>
      <c r="N132" s="86"/>
      <c r="O132" s="13"/>
      <c r="P132" s="20"/>
      <c r="Q132" s="4"/>
      <c r="R132" s="66"/>
      <c r="S132" s="5"/>
      <c r="T132" s="59"/>
      <c r="U132" s="62"/>
      <c r="V132" s="53"/>
      <c r="W132" s="2" t="str">
        <f t="shared" ca="1" si="25"/>
        <v/>
      </c>
      <c r="X132" s="2">
        <f t="shared" si="26"/>
        <v>0</v>
      </c>
      <c r="Y132" s="2" t="str">
        <f t="shared" ca="1" si="19"/>
        <v/>
      </c>
      <c r="Z132" s="1" t="str">
        <f t="shared" ca="1" si="27"/>
        <v/>
      </c>
      <c r="AA132" s="2" t="str">
        <f t="shared" ca="1" si="28"/>
        <v/>
      </c>
      <c r="AB132" s="2" t="str">
        <f t="shared" ca="1" si="31"/>
        <v/>
      </c>
      <c r="AC132" s="1" t="str">
        <f t="shared" ca="1" si="29"/>
        <v/>
      </c>
      <c r="AD132" t="str">
        <f t="shared" si="30"/>
        <v/>
      </c>
    </row>
    <row r="133" spans="1:30" s="2" customFormat="1">
      <c r="A133" s="30" t="str">
        <f t="shared" ref="A133:A196" si="32">IF(NOT(COUNTA(B133:H133)),"",ROW()-4)</f>
        <v/>
      </c>
      <c r="B133" s="14"/>
      <c r="C133" s="4"/>
      <c r="D133" s="4"/>
      <c r="E133" s="90"/>
      <c r="F133" s="91"/>
      <c r="G133" s="91"/>
      <c r="H133" s="92"/>
      <c r="I133" s="14"/>
      <c r="J133" s="4"/>
      <c r="K133" s="4"/>
      <c r="L133" s="84"/>
      <c r="M133" s="85"/>
      <c r="N133" s="86"/>
      <c r="O133" s="13"/>
      <c r="P133" s="20"/>
      <c r="Q133" s="4"/>
      <c r="R133" s="66"/>
      <c r="S133" s="5"/>
      <c r="T133" s="59"/>
      <c r="U133" s="62"/>
      <c r="V133" s="53"/>
      <c r="W133" s="2" t="str">
        <f t="shared" ref="W133:W164" ca="1" si="33">IF(ISNA(VLOOKUP(P133,內容物Mapping,2,FALSE)),"",VLOOKUP(P133,內容物Mapping,2,FALSE))</f>
        <v/>
      </c>
      <c r="X133" s="2">
        <f t="shared" ref="X133:X164" si="34">IF(P133="其他",TRIM(Q133),P133)</f>
        <v>0</v>
      </c>
      <c r="Y133" s="2" t="str">
        <f t="shared" ref="Y133:Y196" ca="1" si="35">IF(ISNA(VLOOKUP(V133,未寄達處理方式Mapping,2,FALSE)),"",VLOOKUP(V133,未寄達處理方式Mapping,2,FALSE))</f>
        <v/>
      </c>
      <c r="Z133" s="1" t="str">
        <f t="shared" ref="Z133:Z164" ca="1" si="36">IF(ISNA(VLOOKUP(D133,地址類別Mapping,2,FALSE)),"",VLOOKUP(D133,地址類別Mapping,2,FALSE))</f>
        <v/>
      </c>
      <c r="AA133" s="2" t="str">
        <f t="shared" ref="AA133:AA164" ca="1" si="37">IF(ISNA(VLOOKUP(E133&amp;"-"&amp;F133,郵遞區號,2,FALSE)),"",VLOOKUP(E133&amp;"-"&amp;F133,郵遞區號,2,FALSE))</f>
        <v/>
      </c>
      <c r="AB133" s="2" t="str">
        <f t="shared" ca="1" si="31"/>
        <v/>
      </c>
      <c r="AC133" s="1" t="str">
        <f t="shared" ref="AC133:AC164" ca="1" si="38">IF(ISNA(VLOOKUP(S133,箱袋種類Mapping,2,FALSE)),"",VLOOKUP(S133,箱袋種類Mapping,2,FALSE))</f>
        <v/>
      </c>
      <c r="AD133" t="str">
        <f t="shared" ref="AD133:AD164" si="39">IF(TRIM(B133)&lt;&gt;"","202","")</f>
        <v/>
      </c>
    </row>
    <row r="134" spans="1:30" s="2" customFormat="1">
      <c r="A134" s="30" t="str">
        <f t="shared" si="32"/>
        <v/>
      </c>
      <c r="B134" s="14"/>
      <c r="C134" s="4"/>
      <c r="D134" s="4"/>
      <c r="E134" s="90"/>
      <c r="F134" s="91"/>
      <c r="G134" s="91"/>
      <c r="H134" s="92"/>
      <c r="I134" s="14"/>
      <c r="J134" s="4"/>
      <c r="K134" s="4"/>
      <c r="L134" s="84"/>
      <c r="M134" s="85"/>
      <c r="N134" s="86"/>
      <c r="O134" s="13"/>
      <c r="P134" s="20"/>
      <c r="Q134" s="4"/>
      <c r="R134" s="66"/>
      <c r="S134" s="5"/>
      <c r="T134" s="59"/>
      <c r="U134" s="62"/>
      <c r="V134" s="53"/>
      <c r="W134" s="2" t="str">
        <f t="shared" ca="1" si="33"/>
        <v/>
      </c>
      <c r="X134" s="2">
        <f t="shared" si="34"/>
        <v>0</v>
      </c>
      <c r="Y134" s="2" t="str">
        <f t="shared" ca="1" si="35"/>
        <v/>
      </c>
      <c r="Z134" s="1" t="str">
        <f t="shared" ca="1" si="36"/>
        <v/>
      </c>
      <c r="AA134" s="2" t="str">
        <f t="shared" ca="1" si="37"/>
        <v/>
      </c>
      <c r="AB134" s="2" t="str">
        <f t="shared" ca="1" si="31"/>
        <v/>
      </c>
      <c r="AC134" s="1" t="str">
        <f t="shared" ca="1" si="38"/>
        <v/>
      </c>
      <c r="AD134" t="str">
        <f t="shared" si="39"/>
        <v/>
      </c>
    </row>
    <row r="135" spans="1:30" s="2" customFormat="1">
      <c r="A135" s="30" t="str">
        <f t="shared" si="32"/>
        <v/>
      </c>
      <c r="B135" s="14"/>
      <c r="C135" s="4"/>
      <c r="D135" s="4"/>
      <c r="E135" s="90"/>
      <c r="F135" s="91"/>
      <c r="G135" s="91"/>
      <c r="H135" s="92"/>
      <c r="I135" s="14"/>
      <c r="J135" s="4"/>
      <c r="K135" s="4"/>
      <c r="L135" s="84"/>
      <c r="M135" s="85"/>
      <c r="N135" s="86"/>
      <c r="O135" s="13"/>
      <c r="P135" s="20"/>
      <c r="Q135" s="4"/>
      <c r="R135" s="66"/>
      <c r="S135" s="5"/>
      <c r="T135" s="59"/>
      <c r="U135" s="62"/>
      <c r="V135" s="53"/>
      <c r="W135" s="2" t="str">
        <f t="shared" ca="1" si="33"/>
        <v/>
      </c>
      <c r="X135" s="2">
        <f t="shared" si="34"/>
        <v>0</v>
      </c>
      <c r="Y135" s="2" t="str">
        <f t="shared" ca="1" si="35"/>
        <v/>
      </c>
      <c r="Z135" s="1" t="str">
        <f t="shared" ca="1" si="36"/>
        <v/>
      </c>
      <c r="AA135" s="2" t="str">
        <f t="shared" ca="1" si="37"/>
        <v/>
      </c>
      <c r="AB135" s="2" t="str">
        <f t="shared" ref="AB135:AB166" ca="1" si="40">IF(ISNA(VLOOKUP(L135&amp;"-"&amp;M135,郵遞區號,2,FALSE)),"",VLOOKUP(L135&amp;"-"&amp;M135,郵遞區號,2,FALSE))</f>
        <v/>
      </c>
      <c r="AC135" s="1" t="str">
        <f t="shared" ca="1" si="38"/>
        <v/>
      </c>
      <c r="AD135" t="str">
        <f t="shared" si="39"/>
        <v/>
      </c>
    </row>
    <row r="136" spans="1:30" s="2" customFormat="1">
      <c r="A136" s="30" t="str">
        <f t="shared" si="32"/>
        <v/>
      </c>
      <c r="B136" s="14"/>
      <c r="C136" s="4"/>
      <c r="D136" s="4"/>
      <c r="E136" s="90"/>
      <c r="F136" s="91"/>
      <c r="G136" s="91"/>
      <c r="H136" s="92"/>
      <c r="I136" s="14"/>
      <c r="J136" s="4"/>
      <c r="K136" s="4"/>
      <c r="L136" s="84"/>
      <c r="M136" s="85"/>
      <c r="N136" s="86"/>
      <c r="O136" s="13"/>
      <c r="P136" s="20"/>
      <c r="Q136" s="4"/>
      <c r="R136" s="66"/>
      <c r="S136" s="5"/>
      <c r="T136" s="59"/>
      <c r="U136" s="62"/>
      <c r="V136" s="53"/>
      <c r="W136" s="2" t="str">
        <f t="shared" ca="1" si="33"/>
        <v/>
      </c>
      <c r="X136" s="2">
        <f t="shared" si="34"/>
        <v>0</v>
      </c>
      <c r="Y136" s="2" t="str">
        <f t="shared" ca="1" si="35"/>
        <v/>
      </c>
      <c r="Z136" s="1" t="str">
        <f t="shared" ca="1" si="36"/>
        <v/>
      </c>
      <c r="AA136" s="2" t="str">
        <f t="shared" ca="1" si="37"/>
        <v/>
      </c>
      <c r="AB136" s="2" t="str">
        <f t="shared" ca="1" si="40"/>
        <v/>
      </c>
      <c r="AC136" s="1" t="str">
        <f t="shared" ca="1" si="38"/>
        <v/>
      </c>
      <c r="AD136" t="str">
        <f t="shared" si="39"/>
        <v/>
      </c>
    </row>
    <row r="137" spans="1:30" s="2" customFormat="1">
      <c r="A137" s="30" t="str">
        <f t="shared" si="32"/>
        <v/>
      </c>
      <c r="B137" s="14"/>
      <c r="C137" s="4"/>
      <c r="D137" s="4"/>
      <c r="E137" s="90"/>
      <c r="F137" s="91"/>
      <c r="G137" s="91"/>
      <c r="H137" s="92"/>
      <c r="I137" s="14"/>
      <c r="J137" s="4"/>
      <c r="K137" s="4"/>
      <c r="L137" s="84"/>
      <c r="M137" s="85"/>
      <c r="N137" s="86"/>
      <c r="O137" s="13"/>
      <c r="P137" s="20"/>
      <c r="Q137" s="4"/>
      <c r="R137" s="66"/>
      <c r="S137" s="5"/>
      <c r="T137" s="59"/>
      <c r="U137" s="62"/>
      <c r="V137" s="53"/>
      <c r="W137" s="2" t="str">
        <f t="shared" ca="1" si="33"/>
        <v/>
      </c>
      <c r="X137" s="2">
        <f t="shared" si="34"/>
        <v>0</v>
      </c>
      <c r="Y137" s="2" t="str">
        <f t="shared" ca="1" si="35"/>
        <v/>
      </c>
      <c r="Z137" s="1" t="str">
        <f t="shared" ca="1" si="36"/>
        <v/>
      </c>
      <c r="AA137" s="2" t="str">
        <f t="shared" ca="1" si="37"/>
        <v/>
      </c>
      <c r="AB137" s="2" t="str">
        <f t="shared" ca="1" si="40"/>
        <v/>
      </c>
      <c r="AC137" s="1" t="str">
        <f t="shared" ca="1" si="38"/>
        <v/>
      </c>
      <c r="AD137" t="str">
        <f t="shared" si="39"/>
        <v/>
      </c>
    </row>
    <row r="138" spans="1:30" s="2" customFormat="1">
      <c r="A138" s="30" t="str">
        <f t="shared" si="32"/>
        <v/>
      </c>
      <c r="B138" s="14"/>
      <c r="C138" s="4"/>
      <c r="D138" s="4"/>
      <c r="E138" s="90"/>
      <c r="F138" s="91"/>
      <c r="G138" s="91"/>
      <c r="H138" s="92"/>
      <c r="I138" s="14"/>
      <c r="J138" s="4"/>
      <c r="K138" s="4"/>
      <c r="L138" s="84"/>
      <c r="M138" s="85"/>
      <c r="N138" s="86"/>
      <c r="O138" s="13"/>
      <c r="P138" s="20"/>
      <c r="Q138" s="4"/>
      <c r="R138" s="66"/>
      <c r="S138" s="5"/>
      <c r="T138" s="59"/>
      <c r="U138" s="62"/>
      <c r="V138" s="53"/>
      <c r="W138" s="2" t="str">
        <f t="shared" ca="1" si="33"/>
        <v/>
      </c>
      <c r="X138" s="2">
        <f t="shared" si="34"/>
        <v>0</v>
      </c>
      <c r="Y138" s="2" t="str">
        <f t="shared" ca="1" si="35"/>
        <v/>
      </c>
      <c r="Z138" s="1" t="str">
        <f t="shared" ca="1" si="36"/>
        <v/>
      </c>
      <c r="AA138" s="2" t="str">
        <f t="shared" ca="1" si="37"/>
        <v/>
      </c>
      <c r="AB138" s="2" t="str">
        <f t="shared" ca="1" si="40"/>
        <v/>
      </c>
      <c r="AC138" s="1" t="str">
        <f t="shared" ca="1" si="38"/>
        <v/>
      </c>
      <c r="AD138" t="str">
        <f t="shared" si="39"/>
        <v/>
      </c>
    </row>
    <row r="139" spans="1:30" s="2" customFormat="1">
      <c r="A139" s="30" t="str">
        <f t="shared" si="32"/>
        <v/>
      </c>
      <c r="B139" s="14"/>
      <c r="C139" s="4"/>
      <c r="D139" s="4"/>
      <c r="E139" s="90"/>
      <c r="F139" s="91"/>
      <c r="G139" s="91"/>
      <c r="H139" s="92"/>
      <c r="I139" s="14"/>
      <c r="J139" s="4"/>
      <c r="K139" s="4"/>
      <c r="L139" s="84"/>
      <c r="M139" s="85"/>
      <c r="N139" s="86"/>
      <c r="O139" s="13"/>
      <c r="P139" s="20"/>
      <c r="Q139" s="4"/>
      <c r="R139" s="66"/>
      <c r="S139" s="5"/>
      <c r="T139" s="59"/>
      <c r="U139" s="62"/>
      <c r="V139" s="53"/>
      <c r="W139" s="2" t="str">
        <f t="shared" ca="1" si="33"/>
        <v/>
      </c>
      <c r="X139" s="2">
        <f t="shared" si="34"/>
        <v>0</v>
      </c>
      <c r="Y139" s="2" t="str">
        <f t="shared" ca="1" si="35"/>
        <v/>
      </c>
      <c r="Z139" s="1" t="str">
        <f t="shared" ca="1" si="36"/>
        <v/>
      </c>
      <c r="AA139" s="2" t="str">
        <f t="shared" ca="1" si="37"/>
        <v/>
      </c>
      <c r="AB139" s="2" t="str">
        <f t="shared" ca="1" si="40"/>
        <v/>
      </c>
      <c r="AC139" s="1" t="str">
        <f t="shared" ca="1" si="38"/>
        <v/>
      </c>
      <c r="AD139" t="str">
        <f t="shared" si="39"/>
        <v/>
      </c>
    </row>
    <row r="140" spans="1:30" s="2" customFormat="1">
      <c r="A140" s="30" t="str">
        <f t="shared" si="32"/>
        <v/>
      </c>
      <c r="B140" s="14"/>
      <c r="C140" s="4"/>
      <c r="D140" s="4"/>
      <c r="E140" s="90"/>
      <c r="F140" s="91"/>
      <c r="G140" s="91"/>
      <c r="H140" s="92"/>
      <c r="I140" s="14"/>
      <c r="J140" s="4"/>
      <c r="K140" s="4"/>
      <c r="L140" s="84"/>
      <c r="M140" s="85"/>
      <c r="N140" s="86"/>
      <c r="O140" s="13"/>
      <c r="P140" s="20"/>
      <c r="Q140" s="4"/>
      <c r="R140" s="66"/>
      <c r="S140" s="5"/>
      <c r="T140" s="59"/>
      <c r="U140" s="62"/>
      <c r="V140" s="53"/>
      <c r="W140" s="2" t="str">
        <f t="shared" ca="1" si="33"/>
        <v/>
      </c>
      <c r="X140" s="2">
        <f t="shared" si="34"/>
        <v>0</v>
      </c>
      <c r="Y140" s="2" t="str">
        <f t="shared" ca="1" si="35"/>
        <v/>
      </c>
      <c r="Z140" s="1" t="str">
        <f t="shared" ca="1" si="36"/>
        <v/>
      </c>
      <c r="AA140" s="2" t="str">
        <f t="shared" ca="1" si="37"/>
        <v/>
      </c>
      <c r="AB140" s="2" t="str">
        <f t="shared" ca="1" si="40"/>
        <v/>
      </c>
      <c r="AC140" s="1" t="str">
        <f t="shared" ca="1" si="38"/>
        <v/>
      </c>
      <c r="AD140" t="str">
        <f t="shared" si="39"/>
        <v/>
      </c>
    </row>
    <row r="141" spans="1:30" s="2" customFormat="1">
      <c r="A141" s="30" t="str">
        <f t="shared" si="32"/>
        <v/>
      </c>
      <c r="B141" s="14"/>
      <c r="C141" s="4"/>
      <c r="D141" s="4"/>
      <c r="E141" s="90"/>
      <c r="F141" s="91"/>
      <c r="G141" s="91"/>
      <c r="H141" s="92"/>
      <c r="I141" s="14"/>
      <c r="J141" s="4"/>
      <c r="K141" s="4"/>
      <c r="L141" s="84"/>
      <c r="M141" s="85"/>
      <c r="N141" s="86"/>
      <c r="O141" s="13"/>
      <c r="P141" s="20"/>
      <c r="Q141" s="4"/>
      <c r="R141" s="66"/>
      <c r="S141" s="5"/>
      <c r="T141" s="59"/>
      <c r="U141" s="62"/>
      <c r="V141" s="53"/>
      <c r="W141" s="2" t="str">
        <f t="shared" ca="1" si="33"/>
        <v/>
      </c>
      <c r="X141" s="2">
        <f t="shared" si="34"/>
        <v>0</v>
      </c>
      <c r="Y141" s="2" t="str">
        <f t="shared" ca="1" si="35"/>
        <v/>
      </c>
      <c r="Z141" s="1" t="str">
        <f t="shared" ca="1" si="36"/>
        <v/>
      </c>
      <c r="AA141" s="2" t="str">
        <f t="shared" ca="1" si="37"/>
        <v/>
      </c>
      <c r="AB141" s="2" t="str">
        <f t="shared" ca="1" si="40"/>
        <v/>
      </c>
      <c r="AC141" s="1" t="str">
        <f t="shared" ca="1" si="38"/>
        <v/>
      </c>
      <c r="AD141" t="str">
        <f t="shared" si="39"/>
        <v/>
      </c>
    </row>
    <row r="142" spans="1:30" s="2" customFormat="1">
      <c r="A142" s="30" t="str">
        <f t="shared" si="32"/>
        <v/>
      </c>
      <c r="B142" s="14"/>
      <c r="C142" s="4"/>
      <c r="D142" s="4"/>
      <c r="E142" s="90"/>
      <c r="F142" s="91"/>
      <c r="G142" s="91"/>
      <c r="H142" s="92"/>
      <c r="I142" s="14"/>
      <c r="J142" s="4"/>
      <c r="K142" s="4"/>
      <c r="L142" s="84"/>
      <c r="M142" s="85"/>
      <c r="N142" s="86"/>
      <c r="O142" s="13"/>
      <c r="P142" s="20"/>
      <c r="Q142" s="4"/>
      <c r="R142" s="66"/>
      <c r="S142" s="5"/>
      <c r="T142" s="59"/>
      <c r="U142" s="62"/>
      <c r="V142" s="53"/>
      <c r="W142" s="2" t="str">
        <f t="shared" ca="1" si="33"/>
        <v/>
      </c>
      <c r="X142" s="2">
        <f t="shared" si="34"/>
        <v>0</v>
      </c>
      <c r="Y142" s="2" t="str">
        <f t="shared" ca="1" si="35"/>
        <v/>
      </c>
      <c r="Z142" s="1" t="str">
        <f t="shared" ca="1" si="36"/>
        <v/>
      </c>
      <c r="AA142" s="2" t="str">
        <f t="shared" ca="1" si="37"/>
        <v/>
      </c>
      <c r="AB142" s="2" t="str">
        <f t="shared" ca="1" si="40"/>
        <v/>
      </c>
      <c r="AC142" s="1" t="str">
        <f t="shared" ca="1" si="38"/>
        <v/>
      </c>
      <c r="AD142" t="str">
        <f t="shared" si="39"/>
        <v/>
      </c>
    </row>
    <row r="143" spans="1:30" s="2" customFormat="1">
      <c r="A143" s="30" t="str">
        <f t="shared" si="32"/>
        <v/>
      </c>
      <c r="B143" s="14"/>
      <c r="C143" s="4"/>
      <c r="D143" s="4"/>
      <c r="E143" s="90"/>
      <c r="F143" s="91"/>
      <c r="G143" s="91"/>
      <c r="H143" s="92"/>
      <c r="I143" s="14"/>
      <c r="J143" s="4"/>
      <c r="K143" s="4"/>
      <c r="L143" s="84"/>
      <c r="M143" s="85"/>
      <c r="N143" s="86"/>
      <c r="O143" s="13"/>
      <c r="P143" s="20"/>
      <c r="Q143" s="4"/>
      <c r="R143" s="66"/>
      <c r="S143" s="5"/>
      <c r="T143" s="59"/>
      <c r="U143" s="62"/>
      <c r="V143" s="53"/>
      <c r="W143" s="2" t="str">
        <f t="shared" ca="1" si="33"/>
        <v/>
      </c>
      <c r="X143" s="2">
        <f t="shared" si="34"/>
        <v>0</v>
      </c>
      <c r="Y143" s="2" t="str">
        <f t="shared" ca="1" si="35"/>
        <v/>
      </c>
      <c r="Z143" s="1" t="str">
        <f t="shared" ca="1" si="36"/>
        <v/>
      </c>
      <c r="AA143" s="2" t="str">
        <f t="shared" ca="1" si="37"/>
        <v/>
      </c>
      <c r="AB143" s="2" t="str">
        <f t="shared" ca="1" si="40"/>
        <v/>
      </c>
      <c r="AC143" s="1" t="str">
        <f t="shared" ca="1" si="38"/>
        <v/>
      </c>
      <c r="AD143" t="str">
        <f t="shared" si="39"/>
        <v/>
      </c>
    </row>
    <row r="144" spans="1:30" s="2" customFormat="1">
      <c r="A144" s="30" t="str">
        <f t="shared" si="32"/>
        <v/>
      </c>
      <c r="B144" s="14"/>
      <c r="C144" s="4"/>
      <c r="D144" s="4"/>
      <c r="E144" s="90"/>
      <c r="F144" s="91"/>
      <c r="G144" s="91"/>
      <c r="H144" s="92"/>
      <c r="I144" s="14"/>
      <c r="J144" s="4"/>
      <c r="K144" s="4"/>
      <c r="L144" s="84"/>
      <c r="M144" s="85"/>
      <c r="N144" s="86"/>
      <c r="O144" s="13"/>
      <c r="P144" s="20"/>
      <c r="Q144" s="4"/>
      <c r="R144" s="66"/>
      <c r="S144" s="5"/>
      <c r="T144" s="59"/>
      <c r="U144" s="62"/>
      <c r="V144" s="53"/>
      <c r="W144" s="2" t="str">
        <f t="shared" ca="1" si="33"/>
        <v/>
      </c>
      <c r="X144" s="2">
        <f t="shared" si="34"/>
        <v>0</v>
      </c>
      <c r="Y144" s="2" t="str">
        <f t="shared" ca="1" si="35"/>
        <v/>
      </c>
      <c r="Z144" s="1" t="str">
        <f t="shared" ca="1" si="36"/>
        <v/>
      </c>
      <c r="AA144" s="2" t="str">
        <f t="shared" ca="1" si="37"/>
        <v/>
      </c>
      <c r="AB144" s="2" t="str">
        <f t="shared" ca="1" si="40"/>
        <v/>
      </c>
      <c r="AC144" s="1" t="str">
        <f t="shared" ca="1" si="38"/>
        <v/>
      </c>
      <c r="AD144" t="str">
        <f t="shared" si="39"/>
        <v/>
      </c>
    </row>
    <row r="145" spans="1:30" s="2" customFormat="1">
      <c r="A145" s="30" t="str">
        <f t="shared" si="32"/>
        <v/>
      </c>
      <c r="B145" s="14"/>
      <c r="C145" s="4"/>
      <c r="D145" s="4"/>
      <c r="E145" s="90"/>
      <c r="F145" s="91"/>
      <c r="G145" s="91"/>
      <c r="H145" s="92"/>
      <c r="I145" s="14"/>
      <c r="J145" s="4"/>
      <c r="K145" s="4"/>
      <c r="L145" s="84"/>
      <c r="M145" s="85"/>
      <c r="N145" s="86"/>
      <c r="O145" s="13"/>
      <c r="P145" s="20"/>
      <c r="Q145" s="4"/>
      <c r="R145" s="66"/>
      <c r="S145" s="5"/>
      <c r="T145" s="59"/>
      <c r="U145" s="62"/>
      <c r="V145" s="53"/>
      <c r="W145" s="2" t="str">
        <f t="shared" ca="1" si="33"/>
        <v/>
      </c>
      <c r="X145" s="2">
        <f t="shared" si="34"/>
        <v>0</v>
      </c>
      <c r="Y145" s="2" t="str">
        <f t="shared" ca="1" si="35"/>
        <v/>
      </c>
      <c r="Z145" s="1" t="str">
        <f t="shared" ca="1" si="36"/>
        <v/>
      </c>
      <c r="AA145" s="2" t="str">
        <f t="shared" ca="1" si="37"/>
        <v/>
      </c>
      <c r="AB145" s="2" t="str">
        <f t="shared" ca="1" si="40"/>
        <v/>
      </c>
      <c r="AC145" s="1" t="str">
        <f t="shared" ca="1" si="38"/>
        <v/>
      </c>
      <c r="AD145" t="str">
        <f t="shared" si="39"/>
        <v/>
      </c>
    </row>
    <row r="146" spans="1:30" s="2" customFormat="1">
      <c r="A146" s="30" t="str">
        <f t="shared" si="32"/>
        <v/>
      </c>
      <c r="B146" s="14"/>
      <c r="C146" s="4"/>
      <c r="D146" s="4"/>
      <c r="E146" s="90"/>
      <c r="F146" s="91"/>
      <c r="G146" s="91"/>
      <c r="H146" s="92"/>
      <c r="I146" s="14"/>
      <c r="J146" s="4"/>
      <c r="K146" s="4"/>
      <c r="L146" s="84"/>
      <c r="M146" s="85"/>
      <c r="N146" s="86"/>
      <c r="O146" s="13"/>
      <c r="P146" s="20"/>
      <c r="Q146" s="4"/>
      <c r="R146" s="66"/>
      <c r="S146" s="5"/>
      <c r="T146" s="59"/>
      <c r="U146" s="62"/>
      <c r="V146" s="53"/>
      <c r="W146" s="2" t="str">
        <f t="shared" ca="1" si="33"/>
        <v/>
      </c>
      <c r="X146" s="2">
        <f t="shared" si="34"/>
        <v>0</v>
      </c>
      <c r="Y146" s="2" t="str">
        <f t="shared" ca="1" si="35"/>
        <v/>
      </c>
      <c r="Z146" s="1" t="str">
        <f t="shared" ca="1" si="36"/>
        <v/>
      </c>
      <c r="AA146" s="2" t="str">
        <f t="shared" ca="1" si="37"/>
        <v/>
      </c>
      <c r="AB146" s="2" t="str">
        <f t="shared" ca="1" si="40"/>
        <v/>
      </c>
      <c r="AC146" s="1" t="str">
        <f t="shared" ca="1" si="38"/>
        <v/>
      </c>
      <c r="AD146" t="str">
        <f t="shared" si="39"/>
        <v/>
      </c>
    </row>
    <row r="147" spans="1:30" s="2" customFormat="1">
      <c r="A147" s="30" t="str">
        <f t="shared" si="32"/>
        <v/>
      </c>
      <c r="B147" s="14"/>
      <c r="C147" s="4"/>
      <c r="D147" s="4"/>
      <c r="E147" s="90"/>
      <c r="F147" s="91"/>
      <c r="G147" s="91"/>
      <c r="H147" s="92"/>
      <c r="I147" s="14"/>
      <c r="J147" s="4"/>
      <c r="K147" s="4"/>
      <c r="L147" s="84"/>
      <c r="M147" s="85"/>
      <c r="N147" s="86"/>
      <c r="O147" s="13"/>
      <c r="P147" s="20"/>
      <c r="Q147" s="4"/>
      <c r="R147" s="66"/>
      <c r="S147" s="5"/>
      <c r="T147" s="59"/>
      <c r="U147" s="62"/>
      <c r="V147" s="53"/>
      <c r="W147" s="2" t="str">
        <f t="shared" ca="1" si="33"/>
        <v/>
      </c>
      <c r="X147" s="2">
        <f t="shared" si="34"/>
        <v>0</v>
      </c>
      <c r="Y147" s="2" t="str">
        <f t="shared" ca="1" si="35"/>
        <v/>
      </c>
      <c r="Z147" s="1" t="str">
        <f t="shared" ca="1" si="36"/>
        <v/>
      </c>
      <c r="AA147" s="2" t="str">
        <f t="shared" ca="1" si="37"/>
        <v/>
      </c>
      <c r="AB147" s="2" t="str">
        <f t="shared" ca="1" si="40"/>
        <v/>
      </c>
      <c r="AC147" s="1" t="str">
        <f t="shared" ca="1" si="38"/>
        <v/>
      </c>
      <c r="AD147" t="str">
        <f t="shared" si="39"/>
        <v/>
      </c>
    </row>
    <row r="148" spans="1:30" s="2" customFormat="1">
      <c r="A148" s="30" t="str">
        <f t="shared" si="32"/>
        <v/>
      </c>
      <c r="B148" s="14"/>
      <c r="C148" s="4"/>
      <c r="D148" s="4"/>
      <c r="E148" s="90"/>
      <c r="F148" s="91"/>
      <c r="G148" s="91"/>
      <c r="H148" s="92"/>
      <c r="I148" s="14"/>
      <c r="J148" s="4"/>
      <c r="K148" s="4"/>
      <c r="L148" s="84"/>
      <c r="M148" s="85"/>
      <c r="N148" s="86"/>
      <c r="O148" s="13"/>
      <c r="P148" s="20"/>
      <c r="Q148" s="4"/>
      <c r="R148" s="66"/>
      <c r="S148" s="5"/>
      <c r="T148" s="59"/>
      <c r="U148" s="62"/>
      <c r="V148" s="53"/>
      <c r="W148" s="2" t="str">
        <f t="shared" ca="1" si="33"/>
        <v/>
      </c>
      <c r="X148" s="2">
        <f t="shared" si="34"/>
        <v>0</v>
      </c>
      <c r="Y148" s="2" t="str">
        <f t="shared" ca="1" si="35"/>
        <v/>
      </c>
      <c r="Z148" s="1" t="str">
        <f t="shared" ca="1" si="36"/>
        <v/>
      </c>
      <c r="AA148" s="2" t="str">
        <f t="shared" ca="1" si="37"/>
        <v/>
      </c>
      <c r="AB148" s="2" t="str">
        <f t="shared" ca="1" si="40"/>
        <v/>
      </c>
      <c r="AC148" s="1" t="str">
        <f t="shared" ca="1" si="38"/>
        <v/>
      </c>
      <c r="AD148" t="str">
        <f t="shared" si="39"/>
        <v/>
      </c>
    </row>
    <row r="149" spans="1:30" s="2" customFormat="1">
      <c r="A149" s="30" t="str">
        <f t="shared" si="32"/>
        <v/>
      </c>
      <c r="B149" s="14"/>
      <c r="C149" s="4"/>
      <c r="D149" s="4"/>
      <c r="E149" s="90"/>
      <c r="F149" s="91"/>
      <c r="G149" s="91"/>
      <c r="H149" s="92"/>
      <c r="I149" s="14"/>
      <c r="J149" s="4"/>
      <c r="K149" s="4"/>
      <c r="L149" s="84"/>
      <c r="M149" s="85"/>
      <c r="N149" s="86"/>
      <c r="O149" s="13"/>
      <c r="P149" s="20"/>
      <c r="Q149" s="4"/>
      <c r="R149" s="66"/>
      <c r="S149" s="5"/>
      <c r="T149" s="59"/>
      <c r="U149" s="62"/>
      <c r="V149" s="53"/>
      <c r="W149" s="2" t="str">
        <f t="shared" ca="1" si="33"/>
        <v/>
      </c>
      <c r="X149" s="2">
        <f t="shared" si="34"/>
        <v>0</v>
      </c>
      <c r="Y149" s="2" t="str">
        <f t="shared" ca="1" si="35"/>
        <v/>
      </c>
      <c r="Z149" s="1" t="str">
        <f t="shared" ca="1" si="36"/>
        <v/>
      </c>
      <c r="AA149" s="2" t="str">
        <f t="shared" ca="1" si="37"/>
        <v/>
      </c>
      <c r="AB149" s="2" t="str">
        <f t="shared" ca="1" si="40"/>
        <v/>
      </c>
      <c r="AC149" s="1" t="str">
        <f t="shared" ca="1" si="38"/>
        <v/>
      </c>
      <c r="AD149" t="str">
        <f t="shared" si="39"/>
        <v/>
      </c>
    </row>
    <row r="150" spans="1:30" s="2" customFormat="1">
      <c r="A150" s="30" t="str">
        <f t="shared" si="32"/>
        <v/>
      </c>
      <c r="B150" s="14"/>
      <c r="C150" s="4"/>
      <c r="D150" s="4"/>
      <c r="E150" s="90"/>
      <c r="F150" s="91"/>
      <c r="G150" s="91"/>
      <c r="H150" s="92"/>
      <c r="I150" s="14"/>
      <c r="J150" s="4"/>
      <c r="K150" s="4"/>
      <c r="L150" s="84"/>
      <c r="M150" s="85"/>
      <c r="N150" s="86"/>
      <c r="O150" s="13"/>
      <c r="P150" s="20"/>
      <c r="Q150" s="4"/>
      <c r="R150" s="66"/>
      <c r="S150" s="5"/>
      <c r="T150" s="59"/>
      <c r="U150" s="62"/>
      <c r="V150" s="53"/>
      <c r="W150" s="2" t="str">
        <f t="shared" ca="1" si="33"/>
        <v/>
      </c>
      <c r="X150" s="2">
        <f t="shared" si="34"/>
        <v>0</v>
      </c>
      <c r="Y150" s="2" t="str">
        <f t="shared" ca="1" si="35"/>
        <v/>
      </c>
      <c r="Z150" s="1" t="str">
        <f t="shared" ca="1" si="36"/>
        <v/>
      </c>
      <c r="AA150" s="2" t="str">
        <f t="shared" ca="1" si="37"/>
        <v/>
      </c>
      <c r="AB150" s="2" t="str">
        <f t="shared" ca="1" si="40"/>
        <v/>
      </c>
      <c r="AC150" s="1" t="str">
        <f t="shared" ca="1" si="38"/>
        <v/>
      </c>
      <c r="AD150" t="str">
        <f t="shared" si="39"/>
        <v/>
      </c>
    </row>
    <row r="151" spans="1:30" s="2" customFormat="1">
      <c r="A151" s="30" t="str">
        <f t="shared" si="32"/>
        <v/>
      </c>
      <c r="B151" s="14"/>
      <c r="C151" s="4"/>
      <c r="D151" s="4"/>
      <c r="E151" s="90"/>
      <c r="F151" s="91"/>
      <c r="G151" s="91"/>
      <c r="H151" s="92"/>
      <c r="I151" s="14"/>
      <c r="J151" s="4"/>
      <c r="K151" s="4"/>
      <c r="L151" s="84"/>
      <c r="M151" s="85"/>
      <c r="N151" s="86"/>
      <c r="O151" s="13"/>
      <c r="P151" s="20"/>
      <c r="Q151" s="4"/>
      <c r="R151" s="66"/>
      <c r="S151" s="5"/>
      <c r="T151" s="59"/>
      <c r="U151" s="62"/>
      <c r="V151" s="53"/>
      <c r="W151" s="2" t="str">
        <f t="shared" ca="1" si="33"/>
        <v/>
      </c>
      <c r="X151" s="2">
        <f t="shared" si="34"/>
        <v>0</v>
      </c>
      <c r="Y151" s="2" t="str">
        <f t="shared" ca="1" si="35"/>
        <v/>
      </c>
      <c r="Z151" s="1" t="str">
        <f t="shared" ca="1" si="36"/>
        <v/>
      </c>
      <c r="AA151" s="2" t="str">
        <f t="shared" ca="1" si="37"/>
        <v/>
      </c>
      <c r="AB151" s="2" t="str">
        <f t="shared" ca="1" si="40"/>
        <v/>
      </c>
      <c r="AC151" s="1" t="str">
        <f t="shared" ca="1" si="38"/>
        <v/>
      </c>
      <c r="AD151" t="str">
        <f t="shared" si="39"/>
        <v/>
      </c>
    </row>
    <row r="152" spans="1:30" s="2" customFormat="1">
      <c r="A152" s="30" t="str">
        <f t="shared" si="32"/>
        <v/>
      </c>
      <c r="B152" s="14"/>
      <c r="C152" s="4"/>
      <c r="D152" s="4"/>
      <c r="E152" s="90"/>
      <c r="F152" s="91"/>
      <c r="G152" s="91"/>
      <c r="H152" s="92"/>
      <c r="I152" s="14"/>
      <c r="J152" s="4"/>
      <c r="K152" s="4"/>
      <c r="L152" s="84"/>
      <c r="M152" s="85"/>
      <c r="N152" s="86"/>
      <c r="O152" s="13"/>
      <c r="P152" s="20"/>
      <c r="Q152" s="4"/>
      <c r="R152" s="66"/>
      <c r="S152" s="5"/>
      <c r="T152" s="59"/>
      <c r="U152" s="62"/>
      <c r="V152" s="53"/>
      <c r="W152" s="2" t="str">
        <f t="shared" ca="1" si="33"/>
        <v/>
      </c>
      <c r="X152" s="2">
        <f t="shared" si="34"/>
        <v>0</v>
      </c>
      <c r="Y152" s="2" t="str">
        <f t="shared" ca="1" si="35"/>
        <v/>
      </c>
      <c r="Z152" s="1" t="str">
        <f t="shared" ca="1" si="36"/>
        <v/>
      </c>
      <c r="AA152" s="2" t="str">
        <f t="shared" ca="1" si="37"/>
        <v/>
      </c>
      <c r="AB152" s="2" t="str">
        <f t="shared" ca="1" si="40"/>
        <v/>
      </c>
      <c r="AC152" s="1" t="str">
        <f t="shared" ca="1" si="38"/>
        <v/>
      </c>
      <c r="AD152" t="str">
        <f t="shared" si="39"/>
        <v/>
      </c>
    </row>
    <row r="153" spans="1:30" s="2" customFormat="1">
      <c r="A153" s="30" t="str">
        <f t="shared" si="32"/>
        <v/>
      </c>
      <c r="B153" s="14"/>
      <c r="C153" s="4"/>
      <c r="D153" s="4"/>
      <c r="E153" s="90"/>
      <c r="F153" s="91"/>
      <c r="G153" s="91"/>
      <c r="H153" s="92"/>
      <c r="I153" s="14"/>
      <c r="J153" s="4"/>
      <c r="K153" s="4"/>
      <c r="L153" s="84"/>
      <c r="M153" s="85"/>
      <c r="N153" s="86"/>
      <c r="O153" s="13"/>
      <c r="P153" s="20"/>
      <c r="Q153" s="4"/>
      <c r="R153" s="66"/>
      <c r="S153" s="5"/>
      <c r="T153" s="59"/>
      <c r="U153" s="62"/>
      <c r="V153" s="53"/>
      <c r="W153" s="2" t="str">
        <f t="shared" ca="1" si="33"/>
        <v/>
      </c>
      <c r="X153" s="2">
        <f t="shared" si="34"/>
        <v>0</v>
      </c>
      <c r="Y153" s="2" t="str">
        <f t="shared" ca="1" si="35"/>
        <v/>
      </c>
      <c r="Z153" s="1" t="str">
        <f t="shared" ca="1" si="36"/>
        <v/>
      </c>
      <c r="AA153" s="2" t="str">
        <f t="shared" ca="1" si="37"/>
        <v/>
      </c>
      <c r="AB153" s="2" t="str">
        <f t="shared" ca="1" si="40"/>
        <v/>
      </c>
      <c r="AC153" s="1" t="str">
        <f t="shared" ca="1" si="38"/>
        <v/>
      </c>
      <c r="AD153" t="str">
        <f t="shared" si="39"/>
        <v/>
      </c>
    </row>
    <row r="154" spans="1:30" s="2" customFormat="1">
      <c r="A154" s="30" t="str">
        <f t="shared" si="32"/>
        <v/>
      </c>
      <c r="B154" s="14"/>
      <c r="C154" s="4"/>
      <c r="D154" s="4"/>
      <c r="E154" s="90"/>
      <c r="F154" s="91"/>
      <c r="G154" s="91"/>
      <c r="H154" s="92"/>
      <c r="I154" s="14"/>
      <c r="J154" s="4"/>
      <c r="K154" s="4"/>
      <c r="L154" s="84"/>
      <c r="M154" s="85"/>
      <c r="N154" s="86"/>
      <c r="O154" s="13"/>
      <c r="P154" s="20"/>
      <c r="Q154" s="4"/>
      <c r="R154" s="66"/>
      <c r="S154" s="5"/>
      <c r="T154" s="59"/>
      <c r="U154" s="62"/>
      <c r="V154" s="53"/>
      <c r="W154" s="2" t="str">
        <f t="shared" ca="1" si="33"/>
        <v/>
      </c>
      <c r="X154" s="2">
        <f t="shared" si="34"/>
        <v>0</v>
      </c>
      <c r="Y154" s="2" t="str">
        <f t="shared" ca="1" si="35"/>
        <v/>
      </c>
      <c r="Z154" s="1" t="str">
        <f t="shared" ca="1" si="36"/>
        <v/>
      </c>
      <c r="AA154" s="2" t="str">
        <f t="shared" ca="1" si="37"/>
        <v/>
      </c>
      <c r="AB154" s="2" t="str">
        <f t="shared" ca="1" si="40"/>
        <v/>
      </c>
      <c r="AC154" s="1" t="str">
        <f t="shared" ca="1" si="38"/>
        <v/>
      </c>
      <c r="AD154" t="str">
        <f t="shared" si="39"/>
        <v/>
      </c>
    </row>
    <row r="155" spans="1:30" s="2" customFormat="1">
      <c r="A155" s="30" t="str">
        <f t="shared" si="32"/>
        <v/>
      </c>
      <c r="B155" s="14"/>
      <c r="C155" s="4"/>
      <c r="D155" s="4"/>
      <c r="E155" s="90"/>
      <c r="F155" s="91"/>
      <c r="G155" s="91"/>
      <c r="H155" s="92"/>
      <c r="I155" s="14"/>
      <c r="J155" s="4"/>
      <c r="K155" s="4"/>
      <c r="L155" s="84"/>
      <c r="M155" s="85"/>
      <c r="N155" s="86"/>
      <c r="O155" s="13"/>
      <c r="P155" s="20"/>
      <c r="Q155" s="4"/>
      <c r="R155" s="66"/>
      <c r="S155" s="5"/>
      <c r="T155" s="59"/>
      <c r="U155" s="62"/>
      <c r="V155" s="53"/>
      <c r="W155" s="2" t="str">
        <f t="shared" ca="1" si="33"/>
        <v/>
      </c>
      <c r="X155" s="2">
        <f t="shared" si="34"/>
        <v>0</v>
      </c>
      <c r="Y155" s="2" t="str">
        <f t="shared" ca="1" si="35"/>
        <v/>
      </c>
      <c r="Z155" s="1" t="str">
        <f t="shared" ca="1" si="36"/>
        <v/>
      </c>
      <c r="AA155" s="2" t="str">
        <f t="shared" ca="1" si="37"/>
        <v/>
      </c>
      <c r="AB155" s="2" t="str">
        <f t="shared" ca="1" si="40"/>
        <v/>
      </c>
      <c r="AC155" s="1" t="str">
        <f t="shared" ca="1" si="38"/>
        <v/>
      </c>
      <c r="AD155" t="str">
        <f t="shared" si="39"/>
        <v/>
      </c>
    </row>
    <row r="156" spans="1:30" s="2" customFormat="1">
      <c r="A156" s="30" t="str">
        <f t="shared" si="32"/>
        <v/>
      </c>
      <c r="B156" s="14"/>
      <c r="C156" s="4"/>
      <c r="D156" s="4"/>
      <c r="E156" s="90"/>
      <c r="F156" s="91"/>
      <c r="G156" s="91"/>
      <c r="H156" s="92"/>
      <c r="I156" s="14"/>
      <c r="J156" s="4"/>
      <c r="K156" s="4"/>
      <c r="L156" s="84"/>
      <c r="M156" s="85"/>
      <c r="N156" s="86"/>
      <c r="O156" s="13"/>
      <c r="P156" s="20"/>
      <c r="Q156" s="4"/>
      <c r="R156" s="66"/>
      <c r="S156" s="5"/>
      <c r="T156" s="59"/>
      <c r="U156" s="62"/>
      <c r="V156" s="53"/>
      <c r="W156" s="2" t="str">
        <f t="shared" ca="1" si="33"/>
        <v/>
      </c>
      <c r="X156" s="2">
        <f t="shared" si="34"/>
        <v>0</v>
      </c>
      <c r="Y156" s="2" t="str">
        <f t="shared" ca="1" si="35"/>
        <v/>
      </c>
      <c r="Z156" s="1" t="str">
        <f t="shared" ca="1" si="36"/>
        <v/>
      </c>
      <c r="AA156" s="2" t="str">
        <f t="shared" ca="1" si="37"/>
        <v/>
      </c>
      <c r="AB156" s="2" t="str">
        <f t="shared" ca="1" si="40"/>
        <v/>
      </c>
      <c r="AC156" s="1" t="str">
        <f t="shared" ca="1" si="38"/>
        <v/>
      </c>
      <c r="AD156" t="str">
        <f t="shared" si="39"/>
        <v/>
      </c>
    </row>
    <row r="157" spans="1:30" s="2" customFormat="1">
      <c r="A157" s="30" t="str">
        <f t="shared" si="32"/>
        <v/>
      </c>
      <c r="B157" s="14"/>
      <c r="C157" s="4"/>
      <c r="D157" s="4"/>
      <c r="E157" s="90"/>
      <c r="F157" s="91"/>
      <c r="G157" s="91"/>
      <c r="H157" s="92"/>
      <c r="I157" s="14"/>
      <c r="J157" s="4"/>
      <c r="K157" s="4"/>
      <c r="L157" s="84"/>
      <c r="M157" s="85"/>
      <c r="N157" s="86"/>
      <c r="O157" s="13"/>
      <c r="P157" s="20"/>
      <c r="Q157" s="4"/>
      <c r="R157" s="66"/>
      <c r="S157" s="5"/>
      <c r="T157" s="59"/>
      <c r="U157" s="62"/>
      <c r="V157" s="53"/>
      <c r="W157" s="2" t="str">
        <f t="shared" ca="1" si="33"/>
        <v/>
      </c>
      <c r="X157" s="2">
        <f t="shared" si="34"/>
        <v>0</v>
      </c>
      <c r="Y157" s="2" t="str">
        <f t="shared" ca="1" si="35"/>
        <v/>
      </c>
      <c r="Z157" s="1" t="str">
        <f t="shared" ca="1" si="36"/>
        <v/>
      </c>
      <c r="AA157" s="2" t="str">
        <f t="shared" ca="1" si="37"/>
        <v/>
      </c>
      <c r="AB157" s="2" t="str">
        <f t="shared" ca="1" si="40"/>
        <v/>
      </c>
      <c r="AC157" s="1" t="str">
        <f t="shared" ca="1" si="38"/>
        <v/>
      </c>
      <c r="AD157" t="str">
        <f t="shared" si="39"/>
        <v/>
      </c>
    </row>
    <row r="158" spans="1:30" s="2" customFormat="1">
      <c r="A158" s="30" t="str">
        <f t="shared" si="32"/>
        <v/>
      </c>
      <c r="B158" s="14"/>
      <c r="C158" s="4"/>
      <c r="D158" s="4"/>
      <c r="E158" s="90"/>
      <c r="F158" s="91"/>
      <c r="G158" s="91"/>
      <c r="H158" s="92"/>
      <c r="I158" s="14"/>
      <c r="J158" s="4"/>
      <c r="K158" s="4"/>
      <c r="L158" s="84"/>
      <c r="M158" s="85"/>
      <c r="N158" s="86"/>
      <c r="O158" s="13"/>
      <c r="P158" s="20"/>
      <c r="Q158" s="4"/>
      <c r="R158" s="66"/>
      <c r="S158" s="5"/>
      <c r="T158" s="59"/>
      <c r="U158" s="62"/>
      <c r="V158" s="53"/>
      <c r="W158" s="2" t="str">
        <f t="shared" ca="1" si="33"/>
        <v/>
      </c>
      <c r="X158" s="2">
        <f t="shared" si="34"/>
        <v>0</v>
      </c>
      <c r="Y158" s="2" t="str">
        <f t="shared" ca="1" si="35"/>
        <v/>
      </c>
      <c r="Z158" s="1" t="str">
        <f t="shared" ca="1" si="36"/>
        <v/>
      </c>
      <c r="AA158" s="2" t="str">
        <f t="shared" ca="1" si="37"/>
        <v/>
      </c>
      <c r="AB158" s="2" t="str">
        <f t="shared" ca="1" si="40"/>
        <v/>
      </c>
      <c r="AC158" s="1" t="str">
        <f t="shared" ca="1" si="38"/>
        <v/>
      </c>
      <c r="AD158" t="str">
        <f t="shared" si="39"/>
        <v/>
      </c>
    </row>
    <row r="159" spans="1:30" s="2" customFormat="1">
      <c r="A159" s="30" t="str">
        <f t="shared" si="32"/>
        <v/>
      </c>
      <c r="B159" s="14"/>
      <c r="C159" s="4"/>
      <c r="D159" s="4"/>
      <c r="E159" s="90"/>
      <c r="F159" s="91"/>
      <c r="G159" s="91"/>
      <c r="H159" s="92"/>
      <c r="I159" s="14"/>
      <c r="J159" s="4"/>
      <c r="K159" s="4"/>
      <c r="L159" s="84"/>
      <c r="M159" s="85"/>
      <c r="N159" s="86"/>
      <c r="O159" s="13"/>
      <c r="P159" s="20"/>
      <c r="Q159" s="4"/>
      <c r="R159" s="66"/>
      <c r="S159" s="5"/>
      <c r="T159" s="59"/>
      <c r="U159" s="62"/>
      <c r="V159" s="53"/>
      <c r="W159" s="2" t="str">
        <f t="shared" ca="1" si="33"/>
        <v/>
      </c>
      <c r="X159" s="2">
        <f t="shared" si="34"/>
        <v>0</v>
      </c>
      <c r="Y159" s="2" t="str">
        <f t="shared" ca="1" si="35"/>
        <v/>
      </c>
      <c r="Z159" s="1" t="str">
        <f t="shared" ca="1" si="36"/>
        <v/>
      </c>
      <c r="AA159" s="2" t="str">
        <f t="shared" ca="1" si="37"/>
        <v/>
      </c>
      <c r="AB159" s="2" t="str">
        <f t="shared" ca="1" si="40"/>
        <v/>
      </c>
      <c r="AC159" s="1" t="str">
        <f t="shared" ca="1" si="38"/>
        <v/>
      </c>
      <c r="AD159" t="str">
        <f t="shared" si="39"/>
        <v/>
      </c>
    </row>
    <row r="160" spans="1:30" s="2" customFormat="1">
      <c r="A160" s="30" t="str">
        <f t="shared" si="32"/>
        <v/>
      </c>
      <c r="B160" s="14"/>
      <c r="C160" s="4"/>
      <c r="D160" s="4"/>
      <c r="E160" s="90"/>
      <c r="F160" s="91"/>
      <c r="G160" s="91"/>
      <c r="H160" s="92"/>
      <c r="I160" s="14"/>
      <c r="J160" s="4"/>
      <c r="K160" s="4"/>
      <c r="L160" s="84"/>
      <c r="M160" s="85"/>
      <c r="N160" s="86"/>
      <c r="O160" s="13"/>
      <c r="P160" s="20"/>
      <c r="Q160" s="4"/>
      <c r="R160" s="66"/>
      <c r="S160" s="5"/>
      <c r="T160" s="59"/>
      <c r="U160" s="62"/>
      <c r="V160" s="53"/>
      <c r="W160" s="2" t="str">
        <f t="shared" ca="1" si="33"/>
        <v/>
      </c>
      <c r="X160" s="2">
        <f t="shared" si="34"/>
        <v>0</v>
      </c>
      <c r="Y160" s="2" t="str">
        <f t="shared" ca="1" si="35"/>
        <v/>
      </c>
      <c r="Z160" s="1" t="str">
        <f t="shared" ca="1" si="36"/>
        <v/>
      </c>
      <c r="AA160" s="2" t="str">
        <f t="shared" ca="1" si="37"/>
        <v/>
      </c>
      <c r="AB160" s="2" t="str">
        <f t="shared" ca="1" si="40"/>
        <v/>
      </c>
      <c r="AC160" s="1" t="str">
        <f t="shared" ca="1" si="38"/>
        <v/>
      </c>
      <c r="AD160" t="str">
        <f t="shared" si="39"/>
        <v/>
      </c>
    </row>
    <row r="161" spans="1:30" s="2" customFormat="1">
      <c r="A161" s="30" t="str">
        <f t="shared" si="32"/>
        <v/>
      </c>
      <c r="B161" s="14"/>
      <c r="C161" s="4"/>
      <c r="D161" s="4"/>
      <c r="E161" s="90"/>
      <c r="F161" s="91"/>
      <c r="G161" s="91"/>
      <c r="H161" s="92"/>
      <c r="I161" s="14"/>
      <c r="J161" s="4"/>
      <c r="K161" s="4"/>
      <c r="L161" s="84"/>
      <c r="M161" s="85"/>
      <c r="N161" s="86"/>
      <c r="O161" s="13"/>
      <c r="P161" s="20"/>
      <c r="Q161" s="4"/>
      <c r="R161" s="66"/>
      <c r="S161" s="5"/>
      <c r="T161" s="59"/>
      <c r="U161" s="62"/>
      <c r="V161" s="53"/>
      <c r="W161" s="2" t="str">
        <f t="shared" ca="1" si="33"/>
        <v/>
      </c>
      <c r="X161" s="2">
        <f t="shared" si="34"/>
        <v>0</v>
      </c>
      <c r="Y161" s="2" t="str">
        <f t="shared" ca="1" si="35"/>
        <v/>
      </c>
      <c r="Z161" s="1" t="str">
        <f t="shared" ca="1" si="36"/>
        <v/>
      </c>
      <c r="AA161" s="2" t="str">
        <f t="shared" ca="1" si="37"/>
        <v/>
      </c>
      <c r="AB161" s="2" t="str">
        <f t="shared" ca="1" si="40"/>
        <v/>
      </c>
      <c r="AC161" s="1" t="str">
        <f t="shared" ca="1" si="38"/>
        <v/>
      </c>
      <c r="AD161" t="str">
        <f t="shared" si="39"/>
        <v/>
      </c>
    </row>
    <row r="162" spans="1:30" s="2" customFormat="1">
      <c r="A162" s="30" t="str">
        <f t="shared" si="32"/>
        <v/>
      </c>
      <c r="B162" s="14"/>
      <c r="C162" s="4"/>
      <c r="D162" s="4"/>
      <c r="E162" s="90"/>
      <c r="F162" s="91"/>
      <c r="G162" s="91"/>
      <c r="H162" s="92"/>
      <c r="I162" s="14"/>
      <c r="J162" s="4"/>
      <c r="K162" s="4"/>
      <c r="L162" s="84"/>
      <c r="M162" s="85"/>
      <c r="N162" s="86"/>
      <c r="O162" s="13"/>
      <c r="P162" s="20"/>
      <c r="Q162" s="4"/>
      <c r="R162" s="66"/>
      <c r="S162" s="5"/>
      <c r="T162" s="59"/>
      <c r="U162" s="62"/>
      <c r="V162" s="53"/>
      <c r="W162" s="2" t="str">
        <f t="shared" ca="1" si="33"/>
        <v/>
      </c>
      <c r="X162" s="2">
        <f t="shared" si="34"/>
        <v>0</v>
      </c>
      <c r="Y162" s="2" t="str">
        <f t="shared" ca="1" si="35"/>
        <v/>
      </c>
      <c r="Z162" s="1" t="str">
        <f t="shared" ca="1" si="36"/>
        <v/>
      </c>
      <c r="AA162" s="2" t="str">
        <f t="shared" ca="1" si="37"/>
        <v/>
      </c>
      <c r="AB162" s="2" t="str">
        <f t="shared" ca="1" si="40"/>
        <v/>
      </c>
      <c r="AC162" s="1" t="str">
        <f t="shared" ca="1" si="38"/>
        <v/>
      </c>
      <c r="AD162" t="str">
        <f t="shared" si="39"/>
        <v/>
      </c>
    </row>
    <row r="163" spans="1:30" s="2" customFormat="1">
      <c r="A163" s="30" t="str">
        <f t="shared" si="32"/>
        <v/>
      </c>
      <c r="B163" s="14"/>
      <c r="C163" s="4"/>
      <c r="D163" s="4"/>
      <c r="E163" s="90"/>
      <c r="F163" s="91"/>
      <c r="G163" s="91"/>
      <c r="H163" s="92"/>
      <c r="I163" s="14"/>
      <c r="J163" s="4"/>
      <c r="K163" s="4"/>
      <c r="L163" s="84"/>
      <c r="M163" s="85"/>
      <c r="N163" s="86"/>
      <c r="O163" s="13"/>
      <c r="P163" s="20"/>
      <c r="Q163" s="4"/>
      <c r="R163" s="66"/>
      <c r="S163" s="5"/>
      <c r="T163" s="59"/>
      <c r="U163" s="62"/>
      <c r="V163" s="53"/>
      <c r="W163" s="2" t="str">
        <f t="shared" ca="1" si="33"/>
        <v/>
      </c>
      <c r="X163" s="2">
        <f t="shared" si="34"/>
        <v>0</v>
      </c>
      <c r="Y163" s="2" t="str">
        <f t="shared" ca="1" si="35"/>
        <v/>
      </c>
      <c r="Z163" s="1" t="str">
        <f t="shared" ca="1" si="36"/>
        <v/>
      </c>
      <c r="AA163" s="2" t="str">
        <f t="shared" ca="1" si="37"/>
        <v/>
      </c>
      <c r="AB163" s="2" t="str">
        <f t="shared" ca="1" si="40"/>
        <v/>
      </c>
      <c r="AC163" s="1" t="str">
        <f t="shared" ca="1" si="38"/>
        <v/>
      </c>
      <c r="AD163" t="str">
        <f t="shared" si="39"/>
        <v/>
      </c>
    </row>
    <row r="164" spans="1:30" s="2" customFormat="1">
      <c r="A164" s="30" t="str">
        <f t="shared" si="32"/>
        <v/>
      </c>
      <c r="B164" s="14"/>
      <c r="C164" s="4"/>
      <c r="D164" s="4"/>
      <c r="E164" s="90"/>
      <c r="F164" s="91"/>
      <c r="G164" s="91"/>
      <c r="H164" s="92"/>
      <c r="I164" s="14"/>
      <c r="J164" s="4"/>
      <c r="K164" s="4"/>
      <c r="L164" s="84"/>
      <c r="M164" s="85"/>
      <c r="N164" s="86"/>
      <c r="O164" s="13"/>
      <c r="P164" s="20"/>
      <c r="Q164" s="4"/>
      <c r="R164" s="66"/>
      <c r="S164" s="5"/>
      <c r="T164" s="59"/>
      <c r="U164" s="62"/>
      <c r="V164" s="53"/>
      <c r="W164" s="2" t="str">
        <f t="shared" ca="1" si="33"/>
        <v/>
      </c>
      <c r="X164" s="2">
        <f t="shared" si="34"/>
        <v>0</v>
      </c>
      <c r="Y164" s="2" t="str">
        <f t="shared" ca="1" si="35"/>
        <v/>
      </c>
      <c r="Z164" s="1" t="str">
        <f t="shared" ca="1" si="36"/>
        <v/>
      </c>
      <c r="AA164" s="2" t="str">
        <f t="shared" ca="1" si="37"/>
        <v/>
      </c>
      <c r="AB164" s="2" t="str">
        <f t="shared" ca="1" si="40"/>
        <v/>
      </c>
      <c r="AC164" s="1" t="str">
        <f t="shared" ca="1" si="38"/>
        <v/>
      </c>
      <c r="AD164" t="str">
        <f t="shared" si="39"/>
        <v/>
      </c>
    </row>
    <row r="165" spans="1:30" s="2" customFormat="1">
      <c r="A165" s="30" t="str">
        <f t="shared" si="32"/>
        <v/>
      </c>
      <c r="B165" s="14"/>
      <c r="C165" s="4"/>
      <c r="D165" s="4"/>
      <c r="E165" s="90"/>
      <c r="F165" s="91"/>
      <c r="G165" s="91"/>
      <c r="H165" s="92"/>
      <c r="I165" s="14"/>
      <c r="J165" s="4"/>
      <c r="K165" s="4"/>
      <c r="L165" s="84"/>
      <c r="M165" s="85"/>
      <c r="N165" s="86"/>
      <c r="O165" s="13"/>
      <c r="P165" s="20"/>
      <c r="Q165" s="4"/>
      <c r="R165" s="66"/>
      <c r="S165" s="5"/>
      <c r="T165" s="59"/>
      <c r="U165" s="62"/>
      <c r="V165" s="53"/>
      <c r="W165" s="2" t="str">
        <f t="shared" ref="W165:W196" ca="1" si="41">IF(ISNA(VLOOKUP(P165,內容物Mapping,2,FALSE)),"",VLOOKUP(P165,內容物Mapping,2,FALSE))</f>
        <v/>
      </c>
      <c r="X165" s="2">
        <f t="shared" ref="X165:X197" si="42">IF(P165="其他",TRIM(Q165),P165)</f>
        <v>0</v>
      </c>
      <c r="Y165" s="2" t="str">
        <f t="shared" ca="1" si="35"/>
        <v/>
      </c>
      <c r="Z165" s="1" t="str">
        <f t="shared" ref="Z165:Z196" ca="1" si="43">IF(ISNA(VLOOKUP(D165,地址類別Mapping,2,FALSE)),"",VLOOKUP(D165,地址類別Mapping,2,FALSE))</f>
        <v/>
      </c>
      <c r="AA165" s="2" t="str">
        <f t="shared" ref="AA165:AA196" ca="1" si="44">IF(ISNA(VLOOKUP(E165&amp;"-"&amp;F165,郵遞區號,2,FALSE)),"",VLOOKUP(E165&amp;"-"&amp;F165,郵遞區號,2,FALSE))</f>
        <v/>
      </c>
      <c r="AB165" s="2" t="str">
        <f t="shared" ca="1" si="40"/>
        <v/>
      </c>
      <c r="AC165" s="1" t="str">
        <f t="shared" ref="AC165:AC196" ca="1" si="45">IF(ISNA(VLOOKUP(S165,箱袋種類Mapping,2,FALSE)),"",VLOOKUP(S165,箱袋種類Mapping,2,FALSE))</f>
        <v/>
      </c>
      <c r="AD165" t="str">
        <f t="shared" ref="AD165:AD197" si="46">IF(TRIM(B165)&lt;&gt;"","202","")</f>
        <v/>
      </c>
    </row>
    <row r="166" spans="1:30" s="2" customFormat="1">
      <c r="A166" s="30" t="str">
        <f t="shared" si="32"/>
        <v/>
      </c>
      <c r="B166" s="14"/>
      <c r="C166" s="4"/>
      <c r="D166" s="4"/>
      <c r="E166" s="90"/>
      <c r="F166" s="91"/>
      <c r="G166" s="91"/>
      <c r="H166" s="92"/>
      <c r="I166" s="14"/>
      <c r="J166" s="4"/>
      <c r="K166" s="4"/>
      <c r="L166" s="84"/>
      <c r="M166" s="85"/>
      <c r="N166" s="86"/>
      <c r="O166" s="13"/>
      <c r="P166" s="20"/>
      <c r="Q166" s="4"/>
      <c r="R166" s="66"/>
      <c r="S166" s="5"/>
      <c r="T166" s="59"/>
      <c r="U166" s="62"/>
      <c r="V166" s="53"/>
      <c r="W166" s="2" t="str">
        <f t="shared" ca="1" si="41"/>
        <v/>
      </c>
      <c r="X166" s="2">
        <f t="shared" si="42"/>
        <v>0</v>
      </c>
      <c r="Y166" s="2" t="str">
        <f t="shared" ca="1" si="35"/>
        <v/>
      </c>
      <c r="Z166" s="1" t="str">
        <f t="shared" ca="1" si="43"/>
        <v/>
      </c>
      <c r="AA166" s="2" t="str">
        <f t="shared" ca="1" si="44"/>
        <v/>
      </c>
      <c r="AB166" s="2" t="str">
        <f t="shared" ca="1" si="40"/>
        <v/>
      </c>
      <c r="AC166" s="1" t="str">
        <f t="shared" ca="1" si="45"/>
        <v/>
      </c>
      <c r="AD166" t="str">
        <f t="shared" si="46"/>
        <v/>
      </c>
    </row>
    <row r="167" spans="1:30" s="2" customFormat="1">
      <c r="A167" s="30" t="str">
        <f t="shared" si="32"/>
        <v/>
      </c>
      <c r="B167" s="14"/>
      <c r="C167" s="4"/>
      <c r="D167" s="4"/>
      <c r="E167" s="90"/>
      <c r="F167" s="91"/>
      <c r="G167" s="91"/>
      <c r="H167" s="92"/>
      <c r="I167" s="14"/>
      <c r="J167" s="4"/>
      <c r="K167" s="4"/>
      <c r="L167" s="84"/>
      <c r="M167" s="85"/>
      <c r="N167" s="86"/>
      <c r="O167" s="13"/>
      <c r="P167" s="20"/>
      <c r="Q167" s="4"/>
      <c r="R167" s="66"/>
      <c r="S167" s="5"/>
      <c r="T167" s="59"/>
      <c r="U167" s="62"/>
      <c r="V167" s="53"/>
      <c r="W167" s="2" t="str">
        <f t="shared" ca="1" si="41"/>
        <v/>
      </c>
      <c r="X167" s="2">
        <f t="shared" si="42"/>
        <v>0</v>
      </c>
      <c r="Y167" s="2" t="str">
        <f t="shared" ca="1" si="35"/>
        <v/>
      </c>
      <c r="Z167" s="1" t="str">
        <f t="shared" ca="1" si="43"/>
        <v/>
      </c>
      <c r="AA167" s="2" t="str">
        <f t="shared" ca="1" si="44"/>
        <v/>
      </c>
      <c r="AB167" s="2" t="str">
        <f t="shared" ref="AB167:AB196" ca="1" si="47">IF(ISNA(VLOOKUP(L167&amp;"-"&amp;M167,郵遞區號,2,FALSE)),"",VLOOKUP(L167&amp;"-"&amp;M167,郵遞區號,2,FALSE))</f>
        <v/>
      </c>
      <c r="AC167" s="1" t="str">
        <f t="shared" ca="1" si="45"/>
        <v/>
      </c>
      <c r="AD167" t="str">
        <f t="shared" si="46"/>
        <v/>
      </c>
    </row>
    <row r="168" spans="1:30" s="2" customFormat="1">
      <c r="A168" s="30" t="str">
        <f t="shared" si="32"/>
        <v/>
      </c>
      <c r="B168" s="14"/>
      <c r="C168" s="4"/>
      <c r="D168" s="4"/>
      <c r="E168" s="90"/>
      <c r="F168" s="91"/>
      <c r="G168" s="91"/>
      <c r="H168" s="92"/>
      <c r="I168" s="14"/>
      <c r="J168" s="4"/>
      <c r="K168" s="4"/>
      <c r="L168" s="84"/>
      <c r="M168" s="85"/>
      <c r="N168" s="86"/>
      <c r="O168" s="13"/>
      <c r="P168" s="20"/>
      <c r="Q168" s="4"/>
      <c r="R168" s="66"/>
      <c r="S168" s="5"/>
      <c r="T168" s="59"/>
      <c r="U168" s="62"/>
      <c r="V168" s="53"/>
      <c r="W168" s="2" t="str">
        <f t="shared" ca="1" si="41"/>
        <v/>
      </c>
      <c r="X168" s="2">
        <f t="shared" si="42"/>
        <v>0</v>
      </c>
      <c r="Y168" s="2" t="str">
        <f t="shared" ca="1" si="35"/>
        <v/>
      </c>
      <c r="Z168" s="1" t="str">
        <f t="shared" ca="1" si="43"/>
        <v/>
      </c>
      <c r="AA168" s="2" t="str">
        <f t="shared" ca="1" si="44"/>
        <v/>
      </c>
      <c r="AB168" s="2" t="str">
        <f t="shared" ca="1" si="47"/>
        <v/>
      </c>
      <c r="AC168" s="1" t="str">
        <f t="shared" ca="1" si="45"/>
        <v/>
      </c>
      <c r="AD168" t="str">
        <f t="shared" si="46"/>
        <v/>
      </c>
    </row>
    <row r="169" spans="1:30" s="2" customFormat="1">
      <c r="A169" s="30" t="str">
        <f t="shared" si="32"/>
        <v/>
      </c>
      <c r="B169" s="14"/>
      <c r="C169" s="4"/>
      <c r="D169" s="4"/>
      <c r="E169" s="90"/>
      <c r="F169" s="91"/>
      <c r="G169" s="91"/>
      <c r="H169" s="92"/>
      <c r="I169" s="14"/>
      <c r="J169" s="4"/>
      <c r="K169" s="4"/>
      <c r="L169" s="84"/>
      <c r="M169" s="85"/>
      <c r="N169" s="86"/>
      <c r="O169" s="13"/>
      <c r="P169" s="20"/>
      <c r="Q169" s="4"/>
      <c r="R169" s="66"/>
      <c r="S169" s="5"/>
      <c r="T169" s="59"/>
      <c r="U169" s="62"/>
      <c r="V169" s="53"/>
      <c r="W169" s="2" t="str">
        <f t="shared" ca="1" si="41"/>
        <v/>
      </c>
      <c r="X169" s="2">
        <f t="shared" si="42"/>
        <v>0</v>
      </c>
      <c r="Y169" s="2" t="str">
        <f t="shared" ca="1" si="35"/>
        <v/>
      </c>
      <c r="Z169" s="1" t="str">
        <f t="shared" ca="1" si="43"/>
        <v/>
      </c>
      <c r="AA169" s="2" t="str">
        <f t="shared" ca="1" si="44"/>
        <v/>
      </c>
      <c r="AB169" s="2" t="str">
        <f t="shared" ca="1" si="47"/>
        <v/>
      </c>
      <c r="AC169" s="1" t="str">
        <f t="shared" ca="1" si="45"/>
        <v/>
      </c>
      <c r="AD169" t="str">
        <f t="shared" si="46"/>
        <v/>
      </c>
    </row>
    <row r="170" spans="1:30" s="2" customFormat="1">
      <c r="A170" s="30" t="str">
        <f t="shared" si="32"/>
        <v/>
      </c>
      <c r="B170" s="14"/>
      <c r="C170" s="4"/>
      <c r="D170" s="4"/>
      <c r="E170" s="90"/>
      <c r="F170" s="91"/>
      <c r="G170" s="91"/>
      <c r="H170" s="92"/>
      <c r="I170" s="14"/>
      <c r="J170" s="4"/>
      <c r="K170" s="4"/>
      <c r="L170" s="84"/>
      <c r="M170" s="85"/>
      <c r="N170" s="86"/>
      <c r="O170" s="13"/>
      <c r="P170" s="20"/>
      <c r="Q170" s="4"/>
      <c r="R170" s="66"/>
      <c r="S170" s="5"/>
      <c r="T170" s="59"/>
      <c r="U170" s="62"/>
      <c r="V170" s="53"/>
      <c r="W170" s="2" t="str">
        <f t="shared" ca="1" si="41"/>
        <v/>
      </c>
      <c r="X170" s="2">
        <f t="shared" si="42"/>
        <v>0</v>
      </c>
      <c r="Y170" s="2" t="str">
        <f t="shared" ca="1" si="35"/>
        <v/>
      </c>
      <c r="Z170" s="1" t="str">
        <f t="shared" ca="1" si="43"/>
        <v/>
      </c>
      <c r="AA170" s="2" t="str">
        <f t="shared" ca="1" si="44"/>
        <v/>
      </c>
      <c r="AB170" s="2" t="str">
        <f t="shared" ca="1" si="47"/>
        <v/>
      </c>
      <c r="AC170" s="1" t="str">
        <f t="shared" ca="1" si="45"/>
        <v/>
      </c>
      <c r="AD170" t="str">
        <f t="shared" si="46"/>
        <v/>
      </c>
    </row>
    <row r="171" spans="1:30" s="2" customFormat="1">
      <c r="A171" s="30" t="str">
        <f t="shared" si="32"/>
        <v/>
      </c>
      <c r="B171" s="14"/>
      <c r="C171" s="4"/>
      <c r="D171" s="4"/>
      <c r="E171" s="90"/>
      <c r="F171" s="91"/>
      <c r="G171" s="91"/>
      <c r="H171" s="92"/>
      <c r="I171" s="14"/>
      <c r="J171" s="4"/>
      <c r="K171" s="4"/>
      <c r="L171" s="84"/>
      <c r="M171" s="85"/>
      <c r="N171" s="86"/>
      <c r="O171" s="13"/>
      <c r="P171" s="20"/>
      <c r="Q171" s="4"/>
      <c r="R171" s="66"/>
      <c r="S171" s="5"/>
      <c r="T171" s="59"/>
      <c r="U171" s="62"/>
      <c r="V171" s="53"/>
      <c r="W171" s="2" t="str">
        <f t="shared" ca="1" si="41"/>
        <v/>
      </c>
      <c r="X171" s="2">
        <f t="shared" si="42"/>
        <v>0</v>
      </c>
      <c r="Y171" s="2" t="str">
        <f t="shared" ca="1" si="35"/>
        <v/>
      </c>
      <c r="Z171" s="1" t="str">
        <f t="shared" ca="1" si="43"/>
        <v/>
      </c>
      <c r="AA171" s="2" t="str">
        <f t="shared" ca="1" si="44"/>
        <v/>
      </c>
      <c r="AB171" s="2" t="str">
        <f t="shared" ca="1" si="47"/>
        <v/>
      </c>
      <c r="AC171" s="1" t="str">
        <f t="shared" ca="1" si="45"/>
        <v/>
      </c>
      <c r="AD171" t="str">
        <f t="shared" si="46"/>
        <v/>
      </c>
    </row>
    <row r="172" spans="1:30" s="2" customFormat="1">
      <c r="A172" s="30" t="str">
        <f t="shared" si="32"/>
        <v/>
      </c>
      <c r="B172" s="14"/>
      <c r="C172" s="4"/>
      <c r="D172" s="4"/>
      <c r="E172" s="90"/>
      <c r="F172" s="91"/>
      <c r="G172" s="91"/>
      <c r="H172" s="92"/>
      <c r="I172" s="14"/>
      <c r="J172" s="4"/>
      <c r="K172" s="4"/>
      <c r="L172" s="84"/>
      <c r="M172" s="85"/>
      <c r="N172" s="86"/>
      <c r="O172" s="13"/>
      <c r="P172" s="20"/>
      <c r="Q172" s="4"/>
      <c r="R172" s="66"/>
      <c r="S172" s="5"/>
      <c r="T172" s="59"/>
      <c r="U172" s="62"/>
      <c r="V172" s="53"/>
      <c r="W172" s="2" t="str">
        <f t="shared" ca="1" si="41"/>
        <v/>
      </c>
      <c r="X172" s="2">
        <f t="shared" si="42"/>
        <v>0</v>
      </c>
      <c r="Y172" s="2" t="str">
        <f t="shared" ca="1" si="35"/>
        <v/>
      </c>
      <c r="Z172" s="1" t="str">
        <f t="shared" ca="1" si="43"/>
        <v/>
      </c>
      <c r="AA172" s="2" t="str">
        <f t="shared" ca="1" si="44"/>
        <v/>
      </c>
      <c r="AB172" s="2" t="str">
        <f t="shared" ca="1" si="47"/>
        <v/>
      </c>
      <c r="AC172" s="1" t="str">
        <f t="shared" ca="1" si="45"/>
        <v/>
      </c>
      <c r="AD172" t="str">
        <f t="shared" si="46"/>
        <v/>
      </c>
    </row>
    <row r="173" spans="1:30" s="2" customFormat="1">
      <c r="A173" s="30" t="str">
        <f t="shared" si="32"/>
        <v/>
      </c>
      <c r="B173" s="14"/>
      <c r="C173" s="4"/>
      <c r="D173" s="4"/>
      <c r="E173" s="90"/>
      <c r="F173" s="91"/>
      <c r="G173" s="91"/>
      <c r="H173" s="92"/>
      <c r="I173" s="14"/>
      <c r="J173" s="4"/>
      <c r="K173" s="4"/>
      <c r="L173" s="84"/>
      <c r="M173" s="85"/>
      <c r="N173" s="86"/>
      <c r="O173" s="13"/>
      <c r="P173" s="20"/>
      <c r="Q173" s="4"/>
      <c r="R173" s="66"/>
      <c r="S173" s="5"/>
      <c r="T173" s="59"/>
      <c r="U173" s="62"/>
      <c r="V173" s="53"/>
      <c r="W173" s="2" t="str">
        <f t="shared" ca="1" si="41"/>
        <v/>
      </c>
      <c r="X173" s="2">
        <f t="shared" si="42"/>
        <v>0</v>
      </c>
      <c r="Y173" s="2" t="str">
        <f t="shared" ca="1" si="35"/>
        <v/>
      </c>
      <c r="Z173" s="1" t="str">
        <f t="shared" ca="1" si="43"/>
        <v/>
      </c>
      <c r="AA173" s="2" t="str">
        <f t="shared" ca="1" si="44"/>
        <v/>
      </c>
      <c r="AB173" s="2" t="str">
        <f t="shared" ca="1" si="47"/>
        <v/>
      </c>
      <c r="AC173" s="1" t="str">
        <f t="shared" ca="1" si="45"/>
        <v/>
      </c>
      <c r="AD173" t="str">
        <f t="shared" si="46"/>
        <v/>
      </c>
    </row>
    <row r="174" spans="1:30" s="2" customFormat="1">
      <c r="A174" s="30" t="str">
        <f t="shared" si="32"/>
        <v/>
      </c>
      <c r="B174" s="14"/>
      <c r="C174" s="4"/>
      <c r="D174" s="4"/>
      <c r="E174" s="90"/>
      <c r="F174" s="91"/>
      <c r="G174" s="91"/>
      <c r="H174" s="92"/>
      <c r="I174" s="14"/>
      <c r="J174" s="4"/>
      <c r="K174" s="4"/>
      <c r="L174" s="84"/>
      <c r="M174" s="85"/>
      <c r="N174" s="86"/>
      <c r="O174" s="13"/>
      <c r="P174" s="20"/>
      <c r="Q174" s="4"/>
      <c r="R174" s="66"/>
      <c r="S174" s="5"/>
      <c r="T174" s="59"/>
      <c r="U174" s="62"/>
      <c r="V174" s="53"/>
      <c r="W174" s="2" t="str">
        <f t="shared" ca="1" si="41"/>
        <v/>
      </c>
      <c r="X174" s="2">
        <f t="shared" si="42"/>
        <v>0</v>
      </c>
      <c r="Y174" s="2" t="str">
        <f t="shared" ca="1" si="35"/>
        <v/>
      </c>
      <c r="Z174" s="1" t="str">
        <f t="shared" ca="1" si="43"/>
        <v/>
      </c>
      <c r="AA174" s="2" t="str">
        <f t="shared" ca="1" si="44"/>
        <v/>
      </c>
      <c r="AB174" s="2" t="str">
        <f t="shared" ca="1" si="47"/>
        <v/>
      </c>
      <c r="AC174" s="1" t="str">
        <f t="shared" ca="1" si="45"/>
        <v/>
      </c>
      <c r="AD174" t="str">
        <f t="shared" si="46"/>
        <v/>
      </c>
    </row>
    <row r="175" spans="1:30" s="2" customFormat="1">
      <c r="A175" s="30" t="str">
        <f t="shared" si="32"/>
        <v/>
      </c>
      <c r="B175" s="14"/>
      <c r="C175" s="4"/>
      <c r="D175" s="4"/>
      <c r="E175" s="90"/>
      <c r="F175" s="91"/>
      <c r="G175" s="91"/>
      <c r="H175" s="92"/>
      <c r="I175" s="14"/>
      <c r="J175" s="4"/>
      <c r="K175" s="4"/>
      <c r="L175" s="84"/>
      <c r="M175" s="85"/>
      <c r="N175" s="86"/>
      <c r="O175" s="13"/>
      <c r="P175" s="20"/>
      <c r="Q175" s="4"/>
      <c r="R175" s="66"/>
      <c r="S175" s="5"/>
      <c r="T175" s="59"/>
      <c r="U175" s="62"/>
      <c r="V175" s="53"/>
      <c r="W175" s="2" t="str">
        <f t="shared" ca="1" si="41"/>
        <v/>
      </c>
      <c r="X175" s="2">
        <f t="shared" si="42"/>
        <v>0</v>
      </c>
      <c r="Y175" s="2" t="str">
        <f t="shared" ca="1" si="35"/>
        <v/>
      </c>
      <c r="Z175" s="1" t="str">
        <f t="shared" ca="1" si="43"/>
        <v/>
      </c>
      <c r="AA175" s="2" t="str">
        <f t="shared" ca="1" si="44"/>
        <v/>
      </c>
      <c r="AB175" s="2" t="str">
        <f t="shared" ca="1" si="47"/>
        <v/>
      </c>
      <c r="AC175" s="1" t="str">
        <f t="shared" ca="1" si="45"/>
        <v/>
      </c>
      <c r="AD175" t="str">
        <f t="shared" si="46"/>
        <v/>
      </c>
    </row>
    <row r="176" spans="1:30" s="2" customFormat="1">
      <c r="A176" s="30" t="str">
        <f t="shared" si="32"/>
        <v/>
      </c>
      <c r="B176" s="14"/>
      <c r="C176" s="4"/>
      <c r="D176" s="4"/>
      <c r="E176" s="90"/>
      <c r="F176" s="91"/>
      <c r="G176" s="91"/>
      <c r="H176" s="92"/>
      <c r="I176" s="14"/>
      <c r="J176" s="4"/>
      <c r="K176" s="4"/>
      <c r="L176" s="84"/>
      <c r="M176" s="85"/>
      <c r="N176" s="86"/>
      <c r="O176" s="13"/>
      <c r="P176" s="20"/>
      <c r="Q176" s="4"/>
      <c r="R176" s="66"/>
      <c r="S176" s="5"/>
      <c r="T176" s="59"/>
      <c r="U176" s="62"/>
      <c r="V176" s="53"/>
      <c r="W176" s="2" t="str">
        <f t="shared" ca="1" si="41"/>
        <v/>
      </c>
      <c r="X176" s="2">
        <f t="shared" si="42"/>
        <v>0</v>
      </c>
      <c r="Y176" s="2" t="str">
        <f t="shared" ca="1" si="35"/>
        <v/>
      </c>
      <c r="Z176" s="1" t="str">
        <f t="shared" ca="1" si="43"/>
        <v/>
      </c>
      <c r="AA176" s="2" t="str">
        <f t="shared" ca="1" si="44"/>
        <v/>
      </c>
      <c r="AB176" s="2" t="str">
        <f t="shared" ca="1" si="47"/>
        <v/>
      </c>
      <c r="AC176" s="1" t="str">
        <f t="shared" ca="1" si="45"/>
        <v/>
      </c>
      <c r="AD176" t="str">
        <f t="shared" si="46"/>
        <v/>
      </c>
    </row>
    <row r="177" spans="1:30" s="2" customFormat="1">
      <c r="A177" s="30" t="str">
        <f t="shared" si="32"/>
        <v/>
      </c>
      <c r="B177" s="14"/>
      <c r="C177" s="4"/>
      <c r="D177" s="4"/>
      <c r="E177" s="90"/>
      <c r="F177" s="91"/>
      <c r="G177" s="91"/>
      <c r="H177" s="92"/>
      <c r="I177" s="14"/>
      <c r="J177" s="4"/>
      <c r="K177" s="4"/>
      <c r="L177" s="84"/>
      <c r="M177" s="85"/>
      <c r="N177" s="86"/>
      <c r="O177" s="13"/>
      <c r="P177" s="20"/>
      <c r="Q177" s="4"/>
      <c r="R177" s="66"/>
      <c r="S177" s="5"/>
      <c r="T177" s="59"/>
      <c r="U177" s="62"/>
      <c r="V177" s="53"/>
      <c r="W177" s="2" t="str">
        <f t="shared" ca="1" si="41"/>
        <v/>
      </c>
      <c r="X177" s="2">
        <f t="shared" si="42"/>
        <v>0</v>
      </c>
      <c r="Y177" s="2" t="str">
        <f t="shared" ca="1" si="35"/>
        <v/>
      </c>
      <c r="Z177" s="1" t="str">
        <f t="shared" ca="1" si="43"/>
        <v/>
      </c>
      <c r="AA177" s="2" t="str">
        <f t="shared" ca="1" si="44"/>
        <v/>
      </c>
      <c r="AB177" s="2" t="str">
        <f t="shared" ca="1" si="47"/>
        <v/>
      </c>
      <c r="AC177" s="1" t="str">
        <f t="shared" ca="1" si="45"/>
        <v/>
      </c>
      <c r="AD177" t="str">
        <f t="shared" si="46"/>
        <v/>
      </c>
    </row>
    <row r="178" spans="1:30" s="2" customFormat="1">
      <c r="A178" s="30" t="str">
        <f t="shared" si="32"/>
        <v/>
      </c>
      <c r="B178" s="14"/>
      <c r="C178" s="4"/>
      <c r="D178" s="4"/>
      <c r="E178" s="90"/>
      <c r="F178" s="91"/>
      <c r="G178" s="91"/>
      <c r="H178" s="92"/>
      <c r="I178" s="14"/>
      <c r="J178" s="4"/>
      <c r="K178" s="4"/>
      <c r="L178" s="84"/>
      <c r="M178" s="85"/>
      <c r="N178" s="86"/>
      <c r="O178" s="13"/>
      <c r="P178" s="20"/>
      <c r="Q178" s="4"/>
      <c r="R178" s="66"/>
      <c r="S178" s="5"/>
      <c r="T178" s="59"/>
      <c r="U178" s="62"/>
      <c r="V178" s="53"/>
      <c r="W178" s="2" t="str">
        <f t="shared" ca="1" si="41"/>
        <v/>
      </c>
      <c r="X178" s="2">
        <f t="shared" si="42"/>
        <v>0</v>
      </c>
      <c r="Y178" s="2" t="str">
        <f t="shared" ca="1" si="35"/>
        <v/>
      </c>
      <c r="Z178" s="1" t="str">
        <f t="shared" ca="1" si="43"/>
        <v/>
      </c>
      <c r="AA178" s="2" t="str">
        <f t="shared" ca="1" si="44"/>
        <v/>
      </c>
      <c r="AB178" s="2" t="str">
        <f t="shared" ca="1" si="47"/>
        <v/>
      </c>
      <c r="AC178" s="1" t="str">
        <f t="shared" ca="1" si="45"/>
        <v/>
      </c>
      <c r="AD178" t="str">
        <f t="shared" si="46"/>
        <v/>
      </c>
    </row>
    <row r="179" spans="1:30" s="2" customFormat="1">
      <c r="A179" s="30" t="str">
        <f t="shared" si="32"/>
        <v/>
      </c>
      <c r="B179" s="14"/>
      <c r="C179" s="4"/>
      <c r="D179" s="4"/>
      <c r="E179" s="90"/>
      <c r="F179" s="91"/>
      <c r="G179" s="91"/>
      <c r="H179" s="92"/>
      <c r="I179" s="14"/>
      <c r="J179" s="4"/>
      <c r="K179" s="4"/>
      <c r="L179" s="84"/>
      <c r="M179" s="85"/>
      <c r="N179" s="86"/>
      <c r="O179" s="13"/>
      <c r="P179" s="20"/>
      <c r="Q179" s="4"/>
      <c r="R179" s="66"/>
      <c r="S179" s="5"/>
      <c r="T179" s="59"/>
      <c r="U179" s="62"/>
      <c r="V179" s="53"/>
      <c r="W179" s="2" t="str">
        <f t="shared" ca="1" si="41"/>
        <v/>
      </c>
      <c r="X179" s="2">
        <f t="shared" si="42"/>
        <v>0</v>
      </c>
      <c r="Y179" s="2" t="str">
        <f t="shared" ca="1" si="35"/>
        <v/>
      </c>
      <c r="Z179" s="1" t="str">
        <f t="shared" ca="1" si="43"/>
        <v/>
      </c>
      <c r="AA179" s="2" t="str">
        <f t="shared" ca="1" si="44"/>
        <v/>
      </c>
      <c r="AB179" s="2" t="str">
        <f t="shared" ca="1" si="47"/>
        <v/>
      </c>
      <c r="AC179" s="1" t="str">
        <f t="shared" ca="1" si="45"/>
        <v/>
      </c>
      <c r="AD179" t="str">
        <f t="shared" si="46"/>
        <v/>
      </c>
    </row>
    <row r="180" spans="1:30" s="2" customFormat="1">
      <c r="A180" s="30" t="str">
        <f t="shared" si="32"/>
        <v/>
      </c>
      <c r="B180" s="14"/>
      <c r="C180" s="4"/>
      <c r="D180" s="4"/>
      <c r="E180" s="90"/>
      <c r="F180" s="91"/>
      <c r="G180" s="91"/>
      <c r="H180" s="92"/>
      <c r="I180" s="14"/>
      <c r="J180" s="4"/>
      <c r="K180" s="4"/>
      <c r="L180" s="84"/>
      <c r="M180" s="85"/>
      <c r="N180" s="86"/>
      <c r="O180" s="13"/>
      <c r="P180" s="20"/>
      <c r="Q180" s="4"/>
      <c r="R180" s="66"/>
      <c r="S180" s="5"/>
      <c r="T180" s="59"/>
      <c r="U180" s="62"/>
      <c r="V180" s="53"/>
      <c r="W180" s="2" t="str">
        <f t="shared" ca="1" si="41"/>
        <v/>
      </c>
      <c r="X180" s="2">
        <f t="shared" si="42"/>
        <v>0</v>
      </c>
      <c r="Y180" s="2" t="str">
        <f t="shared" ca="1" si="35"/>
        <v/>
      </c>
      <c r="Z180" s="1" t="str">
        <f t="shared" ca="1" si="43"/>
        <v/>
      </c>
      <c r="AA180" s="2" t="str">
        <f t="shared" ca="1" si="44"/>
        <v/>
      </c>
      <c r="AB180" s="2" t="str">
        <f t="shared" ca="1" si="47"/>
        <v/>
      </c>
      <c r="AC180" s="1" t="str">
        <f t="shared" ca="1" si="45"/>
        <v/>
      </c>
      <c r="AD180" t="str">
        <f t="shared" si="46"/>
        <v/>
      </c>
    </row>
    <row r="181" spans="1:30" s="2" customFormat="1">
      <c r="A181" s="30" t="str">
        <f t="shared" si="32"/>
        <v/>
      </c>
      <c r="B181" s="14"/>
      <c r="C181" s="4"/>
      <c r="D181" s="4"/>
      <c r="E181" s="90"/>
      <c r="F181" s="91"/>
      <c r="G181" s="91"/>
      <c r="H181" s="92"/>
      <c r="I181" s="14"/>
      <c r="J181" s="4"/>
      <c r="K181" s="4"/>
      <c r="L181" s="84"/>
      <c r="M181" s="85"/>
      <c r="N181" s="86"/>
      <c r="O181" s="13"/>
      <c r="P181" s="20"/>
      <c r="Q181" s="4"/>
      <c r="R181" s="66"/>
      <c r="S181" s="5"/>
      <c r="T181" s="59"/>
      <c r="U181" s="62"/>
      <c r="V181" s="53"/>
      <c r="W181" s="2" t="str">
        <f t="shared" ca="1" si="41"/>
        <v/>
      </c>
      <c r="X181" s="2">
        <f t="shared" si="42"/>
        <v>0</v>
      </c>
      <c r="Y181" s="2" t="str">
        <f t="shared" ca="1" si="35"/>
        <v/>
      </c>
      <c r="Z181" s="1" t="str">
        <f t="shared" ca="1" si="43"/>
        <v/>
      </c>
      <c r="AA181" s="2" t="str">
        <f t="shared" ca="1" si="44"/>
        <v/>
      </c>
      <c r="AB181" s="2" t="str">
        <f t="shared" ca="1" si="47"/>
        <v/>
      </c>
      <c r="AC181" s="1" t="str">
        <f t="shared" ca="1" si="45"/>
        <v/>
      </c>
      <c r="AD181" t="str">
        <f t="shared" si="46"/>
        <v/>
      </c>
    </row>
    <row r="182" spans="1:30" s="2" customFormat="1">
      <c r="A182" s="30" t="str">
        <f t="shared" si="32"/>
        <v/>
      </c>
      <c r="B182" s="14"/>
      <c r="C182" s="4"/>
      <c r="D182" s="4"/>
      <c r="E182" s="90"/>
      <c r="F182" s="91"/>
      <c r="G182" s="91"/>
      <c r="H182" s="92"/>
      <c r="I182" s="14"/>
      <c r="J182" s="4"/>
      <c r="K182" s="4"/>
      <c r="L182" s="84"/>
      <c r="M182" s="85"/>
      <c r="N182" s="86"/>
      <c r="O182" s="13"/>
      <c r="P182" s="20"/>
      <c r="Q182" s="4"/>
      <c r="R182" s="66"/>
      <c r="S182" s="5"/>
      <c r="T182" s="59"/>
      <c r="U182" s="62"/>
      <c r="V182" s="53"/>
      <c r="W182" s="2" t="str">
        <f t="shared" ca="1" si="41"/>
        <v/>
      </c>
      <c r="X182" s="2">
        <f t="shared" si="42"/>
        <v>0</v>
      </c>
      <c r="Y182" s="2" t="str">
        <f t="shared" ca="1" si="35"/>
        <v/>
      </c>
      <c r="Z182" s="1" t="str">
        <f t="shared" ca="1" si="43"/>
        <v/>
      </c>
      <c r="AA182" s="2" t="str">
        <f t="shared" ca="1" si="44"/>
        <v/>
      </c>
      <c r="AB182" s="2" t="str">
        <f t="shared" ca="1" si="47"/>
        <v/>
      </c>
      <c r="AC182" s="1" t="str">
        <f t="shared" ca="1" si="45"/>
        <v/>
      </c>
      <c r="AD182" t="str">
        <f t="shared" si="46"/>
        <v/>
      </c>
    </row>
    <row r="183" spans="1:30" s="2" customFormat="1">
      <c r="A183" s="30" t="str">
        <f t="shared" si="32"/>
        <v/>
      </c>
      <c r="B183" s="14"/>
      <c r="C183" s="4"/>
      <c r="D183" s="4"/>
      <c r="E183" s="90"/>
      <c r="F183" s="91"/>
      <c r="G183" s="91"/>
      <c r="H183" s="92"/>
      <c r="I183" s="14"/>
      <c r="J183" s="4"/>
      <c r="K183" s="4"/>
      <c r="L183" s="84"/>
      <c r="M183" s="85"/>
      <c r="N183" s="86"/>
      <c r="O183" s="13"/>
      <c r="P183" s="20"/>
      <c r="Q183" s="4"/>
      <c r="R183" s="66"/>
      <c r="S183" s="5"/>
      <c r="T183" s="59"/>
      <c r="U183" s="62"/>
      <c r="V183" s="53"/>
      <c r="W183" s="2" t="str">
        <f t="shared" ca="1" si="41"/>
        <v/>
      </c>
      <c r="X183" s="2">
        <f t="shared" si="42"/>
        <v>0</v>
      </c>
      <c r="Y183" s="2" t="str">
        <f t="shared" ca="1" si="35"/>
        <v/>
      </c>
      <c r="Z183" s="1" t="str">
        <f t="shared" ca="1" si="43"/>
        <v/>
      </c>
      <c r="AA183" s="2" t="str">
        <f t="shared" ca="1" si="44"/>
        <v/>
      </c>
      <c r="AB183" s="2" t="str">
        <f t="shared" ca="1" si="47"/>
        <v/>
      </c>
      <c r="AC183" s="1" t="str">
        <f t="shared" ca="1" si="45"/>
        <v/>
      </c>
      <c r="AD183" t="str">
        <f t="shared" si="46"/>
        <v/>
      </c>
    </row>
    <row r="184" spans="1:30" s="2" customFormat="1">
      <c r="A184" s="30" t="str">
        <f t="shared" si="32"/>
        <v/>
      </c>
      <c r="B184" s="14"/>
      <c r="C184" s="4"/>
      <c r="D184" s="4"/>
      <c r="E184" s="90"/>
      <c r="F184" s="91"/>
      <c r="G184" s="91"/>
      <c r="H184" s="92"/>
      <c r="I184" s="14"/>
      <c r="J184" s="4"/>
      <c r="K184" s="4"/>
      <c r="L184" s="84"/>
      <c r="M184" s="85"/>
      <c r="N184" s="86"/>
      <c r="O184" s="13"/>
      <c r="P184" s="20"/>
      <c r="Q184" s="4"/>
      <c r="R184" s="66"/>
      <c r="S184" s="5"/>
      <c r="T184" s="59"/>
      <c r="U184" s="62"/>
      <c r="V184" s="53"/>
      <c r="W184" s="2" t="str">
        <f t="shared" ca="1" si="41"/>
        <v/>
      </c>
      <c r="X184" s="2">
        <f t="shared" si="42"/>
        <v>0</v>
      </c>
      <c r="Y184" s="2" t="str">
        <f t="shared" ca="1" si="35"/>
        <v/>
      </c>
      <c r="Z184" s="1" t="str">
        <f t="shared" ca="1" si="43"/>
        <v/>
      </c>
      <c r="AA184" s="2" t="str">
        <f t="shared" ca="1" si="44"/>
        <v/>
      </c>
      <c r="AB184" s="2" t="str">
        <f t="shared" ca="1" si="47"/>
        <v/>
      </c>
      <c r="AC184" s="1" t="str">
        <f t="shared" ca="1" si="45"/>
        <v/>
      </c>
      <c r="AD184" t="str">
        <f t="shared" si="46"/>
        <v/>
      </c>
    </row>
    <row r="185" spans="1:30" s="2" customFormat="1">
      <c r="A185" s="30" t="str">
        <f t="shared" si="32"/>
        <v/>
      </c>
      <c r="B185" s="14"/>
      <c r="C185" s="4"/>
      <c r="D185" s="4"/>
      <c r="E185" s="90"/>
      <c r="F185" s="91"/>
      <c r="G185" s="91"/>
      <c r="H185" s="92"/>
      <c r="I185" s="14"/>
      <c r="J185" s="4"/>
      <c r="K185" s="4"/>
      <c r="L185" s="84"/>
      <c r="M185" s="85"/>
      <c r="N185" s="86"/>
      <c r="O185" s="13"/>
      <c r="P185" s="20"/>
      <c r="Q185" s="4"/>
      <c r="R185" s="66"/>
      <c r="S185" s="5"/>
      <c r="T185" s="59"/>
      <c r="U185" s="62"/>
      <c r="V185" s="53"/>
      <c r="W185" s="2" t="str">
        <f t="shared" ca="1" si="41"/>
        <v/>
      </c>
      <c r="X185" s="2">
        <f t="shared" si="42"/>
        <v>0</v>
      </c>
      <c r="Y185" s="2" t="str">
        <f t="shared" ca="1" si="35"/>
        <v/>
      </c>
      <c r="Z185" s="1" t="str">
        <f t="shared" ca="1" si="43"/>
        <v/>
      </c>
      <c r="AA185" s="2" t="str">
        <f t="shared" ca="1" si="44"/>
        <v/>
      </c>
      <c r="AB185" s="2" t="str">
        <f t="shared" ca="1" si="47"/>
        <v/>
      </c>
      <c r="AC185" s="1" t="str">
        <f t="shared" ca="1" si="45"/>
        <v/>
      </c>
      <c r="AD185" t="str">
        <f t="shared" si="46"/>
        <v/>
      </c>
    </row>
    <row r="186" spans="1:30" s="2" customFormat="1">
      <c r="A186" s="30" t="str">
        <f t="shared" si="32"/>
        <v/>
      </c>
      <c r="B186" s="14"/>
      <c r="C186" s="4"/>
      <c r="D186" s="4"/>
      <c r="E186" s="90"/>
      <c r="F186" s="91"/>
      <c r="G186" s="91"/>
      <c r="H186" s="92"/>
      <c r="I186" s="14"/>
      <c r="J186" s="4"/>
      <c r="K186" s="4"/>
      <c r="L186" s="84"/>
      <c r="M186" s="85"/>
      <c r="N186" s="86"/>
      <c r="O186" s="13"/>
      <c r="P186" s="20"/>
      <c r="Q186" s="4"/>
      <c r="R186" s="66"/>
      <c r="S186" s="5"/>
      <c r="T186" s="59"/>
      <c r="U186" s="62"/>
      <c r="V186" s="53"/>
      <c r="W186" s="2" t="str">
        <f t="shared" ca="1" si="41"/>
        <v/>
      </c>
      <c r="X186" s="2">
        <f t="shared" si="42"/>
        <v>0</v>
      </c>
      <c r="Y186" s="2" t="str">
        <f t="shared" ca="1" si="35"/>
        <v/>
      </c>
      <c r="Z186" s="1" t="str">
        <f t="shared" ca="1" si="43"/>
        <v/>
      </c>
      <c r="AA186" s="2" t="str">
        <f t="shared" ca="1" si="44"/>
        <v/>
      </c>
      <c r="AB186" s="2" t="str">
        <f t="shared" ca="1" si="47"/>
        <v/>
      </c>
      <c r="AC186" s="1" t="str">
        <f t="shared" ca="1" si="45"/>
        <v/>
      </c>
      <c r="AD186" t="str">
        <f t="shared" si="46"/>
        <v/>
      </c>
    </row>
    <row r="187" spans="1:30" s="2" customFormat="1">
      <c r="A187" s="30" t="str">
        <f t="shared" si="32"/>
        <v/>
      </c>
      <c r="B187" s="14"/>
      <c r="C187" s="4"/>
      <c r="D187" s="4"/>
      <c r="E187" s="90"/>
      <c r="F187" s="91"/>
      <c r="G187" s="91"/>
      <c r="H187" s="92"/>
      <c r="I187" s="14"/>
      <c r="J187" s="4"/>
      <c r="K187" s="4"/>
      <c r="L187" s="84"/>
      <c r="M187" s="85"/>
      <c r="N187" s="86"/>
      <c r="O187" s="13"/>
      <c r="P187" s="20"/>
      <c r="Q187" s="4"/>
      <c r="R187" s="66"/>
      <c r="S187" s="5"/>
      <c r="T187" s="59"/>
      <c r="U187" s="62"/>
      <c r="V187" s="53"/>
      <c r="W187" s="2" t="str">
        <f t="shared" ca="1" si="41"/>
        <v/>
      </c>
      <c r="X187" s="2">
        <f t="shared" si="42"/>
        <v>0</v>
      </c>
      <c r="Y187" s="2" t="str">
        <f t="shared" ca="1" si="35"/>
        <v/>
      </c>
      <c r="Z187" s="1" t="str">
        <f t="shared" ca="1" si="43"/>
        <v/>
      </c>
      <c r="AA187" s="2" t="str">
        <f t="shared" ca="1" si="44"/>
        <v/>
      </c>
      <c r="AB187" s="2" t="str">
        <f t="shared" ca="1" si="47"/>
        <v/>
      </c>
      <c r="AC187" s="1" t="str">
        <f t="shared" ca="1" si="45"/>
        <v/>
      </c>
      <c r="AD187" t="str">
        <f t="shared" si="46"/>
        <v/>
      </c>
    </row>
    <row r="188" spans="1:30" s="2" customFormat="1">
      <c r="A188" s="30" t="str">
        <f t="shared" si="32"/>
        <v/>
      </c>
      <c r="B188" s="14"/>
      <c r="C188" s="4"/>
      <c r="D188" s="4"/>
      <c r="E188" s="90"/>
      <c r="F188" s="91"/>
      <c r="G188" s="91"/>
      <c r="H188" s="92"/>
      <c r="I188" s="14"/>
      <c r="J188" s="4"/>
      <c r="K188" s="4"/>
      <c r="L188" s="84"/>
      <c r="M188" s="85"/>
      <c r="N188" s="86"/>
      <c r="O188" s="13"/>
      <c r="P188" s="20"/>
      <c r="Q188" s="4"/>
      <c r="R188" s="66"/>
      <c r="S188" s="5"/>
      <c r="T188" s="59"/>
      <c r="U188" s="62"/>
      <c r="V188" s="53"/>
      <c r="W188" s="2" t="str">
        <f t="shared" ca="1" si="41"/>
        <v/>
      </c>
      <c r="X188" s="2">
        <f t="shared" si="42"/>
        <v>0</v>
      </c>
      <c r="Y188" s="2" t="str">
        <f t="shared" ca="1" si="35"/>
        <v/>
      </c>
      <c r="Z188" s="1" t="str">
        <f t="shared" ca="1" si="43"/>
        <v/>
      </c>
      <c r="AA188" s="2" t="str">
        <f t="shared" ca="1" si="44"/>
        <v/>
      </c>
      <c r="AB188" s="2" t="str">
        <f t="shared" ca="1" si="47"/>
        <v/>
      </c>
      <c r="AC188" s="1" t="str">
        <f t="shared" ca="1" si="45"/>
        <v/>
      </c>
      <c r="AD188" t="str">
        <f t="shared" si="46"/>
        <v/>
      </c>
    </row>
    <row r="189" spans="1:30" s="2" customFormat="1">
      <c r="A189" s="30" t="str">
        <f t="shared" si="32"/>
        <v/>
      </c>
      <c r="B189" s="14"/>
      <c r="C189" s="4"/>
      <c r="D189" s="4"/>
      <c r="E189" s="90"/>
      <c r="F189" s="91"/>
      <c r="G189" s="91"/>
      <c r="H189" s="92"/>
      <c r="I189" s="14"/>
      <c r="J189" s="4"/>
      <c r="K189" s="4"/>
      <c r="L189" s="84"/>
      <c r="M189" s="85"/>
      <c r="N189" s="86"/>
      <c r="O189" s="13"/>
      <c r="P189" s="20"/>
      <c r="Q189" s="4"/>
      <c r="R189" s="66"/>
      <c r="S189" s="5"/>
      <c r="T189" s="59"/>
      <c r="U189" s="62"/>
      <c r="V189" s="53"/>
      <c r="W189" s="2" t="str">
        <f t="shared" ca="1" si="41"/>
        <v/>
      </c>
      <c r="X189" s="2">
        <f t="shared" si="42"/>
        <v>0</v>
      </c>
      <c r="Y189" s="2" t="str">
        <f t="shared" ca="1" si="35"/>
        <v/>
      </c>
      <c r="Z189" s="1" t="str">
        <f t="shared" ca="1" si="43"/>
        <v/>
      </c>
      <c r="AA189" s="2" t="str">
        <f t="shared" ca="1" si="44"/>
        <v/>
      </c>
      <c r="AB189" s="2" t="str">
        <f t="shared" ca="1" si="47"/>
        <v/>
      </c>
      <c r="AC189" s="1" t="str">
        <f t="shared" ca="1" si="45"/>
        <v/>
      </c>
      <c r="AD189" t="str">
        <f t="shared" si="46"/>
        <v/>
      </c>
    </row>
    <row r="190" spans="1:30" s="2" customFormat="1">
      <c r="A190" s="30" t="str">
        <f t="shared" si="32"/>
        <v/>
      </c>
      <c r="B190" s="14"/>
      <c r="C190" s="4"/>
      <c r="D190" s="4"/>
      <c r="E190" s="90"/>
      <c r="F190" s="91"/>
      <c r="G190" s="91"/>
      <c r="H190" s="92"/>
      <c r="I190" s="14"/>
      <c r="J190" s="4"/>
      <c r="K190" s="4"/>
      <c r="L190" s="84"/>
      <c r="M190" s="85"/>
      <c r="N190" s="86"/>
      <c r="O190" s="13"/>
      <c r="P190" s="20"/>
      <c r="Q190" s="4"/>
      <c r="R190" s="66"/>
      <c r="S190" s="5"/>
      <c r="T190" s="59"/>
      <c r="U190" s="62"/>
      <c r="V190" s="53"/>
      <c r="W190" s="2" t="str">
        <f t="shared" ca="1" si="41"/>
        <v/>
      </c>
      <c r="X190" s="2">
        <f t="shared" si="42"/>
        <v>0</v>
      </c>
      <c r="Y190" s="2" t="str">
        <f t="shared" ca="1" si="35"/>
        <v/>
      </c>
      <c r="Z190" s="1" t="str">
        <f t="shared" ca="1" si="43"/>
        <v/>
      </c>
      <c r="AA190" s="2" t="str">
        <f t="shared" ca="1" si="44"/>
        <v/>
      </c>
      <c r="AB190" s="2" t="str">
        <f t="shared" ca="1" si="47"/>
        <v/>
      </c>
      <c r="AC190" s="1" t="str">
        <f t="shared" ca="1" si="45"/>
        <v/>
      </c>
      <c r="AD190" t="str">
        <f t="shared" si="46"/>
        <v/>
      </c>
    </row>
    <row r="191" spans="1:30" s="2" customFormat="1">
      <c r="A191" s="30" t="str">
        <f t="shared" si="32"/>
        <v/>
      </c>
      <c r="B191" s="14"/>
      <c r="C191" s="4"/>
      <c r="D191" s="4"/>
      <c r="E191" s="90"/>
      <c r="F191" s="91"/>
      <c r="G191" s="91"/>
      <c r="H191" s="92"/>
      <c r="I191" s="14"/>
      <c r="J191" s="4"/>
      <c r="K191" s="4"/>
      <c r="L191" s="84"/>
      <c r="M191" s="85"/>
      <c r="N191" s="86"/>
      <c r="O191" s="13"/>
      <c r="P191" s="20"/>
      <c r="Q191" s="4"/>
      <c r="R191" s="66"/>
      <c r="S191" s="5"/>
      <c r="T191" s="59"/>
      <c r="U191" s="62"/>
      <c r="V191" s="53"/>
      <c r="W191" s="2" t="str">
        <f t="shared" ca="1" si="41"/>
        <v/>
      </c>
      <c r="X191" s="2">
        <f t="shared" si="42"/>
        <v>0</v>
      </c>
      <c r="Y191" s="2" t="str">
        <f t="shared" ca="1" si="35"/>
        <v/>
      </c>
      <c r="Z191" s="1" t="str">
        <f t="shared" ca="1" si="43"/>
        <v/>
      </c>
      <c r="AA191" s="2" t="str">
        <f t="shared" ca="1" si="44"/>
        <v/>
      </c>
      <c r="AB191" s="2" t="str">
        <f t="shared" ca="1" si="47"/>
        <v/>
      </c>
      <c r="AC191" s="1" t="str">
        <f t="shared" ca="1" si="45"/>
        <v/>
      </c>
      <c r="AD191" t="str">
        <f t="shared" si="46"/>
        <v/>
      </c>
    </row>
    <row r="192" spans="1:30" s="2" customFormat="1">
      <c r="A192" s="30" t="str">
        <f t="shared" si="32"/>
        <v/>
      </c>
      <c r="B192" s="14"/>
      <c r="C192" s="4"/>
      <c r="D192" s="4"/>
      <c r="E192" s="90"/>
      <c r="F192" s="91"/>
      <c r="G192" s="91"/>
      <c r="H192" s="92"/>
      <c r="I192" s="14"/>
      <c r="J192" s="4"/>
      <c r="K192" s="4"/>
      <c r="L192" s="84"/>
      <c r="M192" s="85"/>
      <c r="N192" s="86"/>
      <c r="O192" s="13"/>
      <c r="P192" s="20"/>
      <c r="Q192" s="4"/>
      <c r="R192" s="66"/>
      <c r="S192" s="5"/>
      <c r="T192" s="59"/>
      <c r="U192" s="62"/>
      <c r="V192" s="53"/>
      <c r="W192" s="2" t="str">
        <f t="shared" ca="1" si="41"/>
        <v/>
      </c>
      <c r="X192" s="2">
        <f t="shared" si="42"/>
        <v>0</v>
      </c>
      <c r="Y192" s="2" t="str">
        <f t="shared" ca="1" si="35"/>
        <v/>
      </c>
      <c r="Z192" s="1" t="str">
        <f t="shared" ca="1" si="43"/>
        <v/>
      </c>
      <c r="AA192" s="2" t="str">
        <f t="shared" ca="1" si="44"/>
        <v/>
      </c>
      <c r="AB192" s="2" t="str">
        <f t="shared" ca="1" si="47"/>
        <v/>
      </c>
      <c r="AC192" s="1" t="str">
        <f t="shared" ca="1" si="45"/>
        <v/>
      </c>
      <c r="AD192" t="str">
        <f t="shared" si="46"/>
        <v/>
      </c>
    </row>
    <row r="193" spans="1:30" s="2" customFormat="1">
      <c r="A193" s="30" t="str">
        <f t="shared" si="32"/>
        <v/>
      </c>
      <c r="B193" s="14"/>
      <c r="C193" s="4"/>
      <c r="D193" s="4"/>
      <c r="E193" s="90"/>
      <c r="F193" s="91"/>
      <c r="G193" s="91"/>
      <c r="H193" s="92"/>
      <c r="I193" s="14"/>
      <c r="J193" s="4"/>
      <c r="K193" s="4"/>
      <c r="L193" s="84"/>
      <c r="M193" s="85"/>
      <c r="N193" s="86"/>
      <c r="O193" s="13"/>
      <c r="P193" s="20"/>
      <c r="Q193" s="4"/>
      <c r="R193" s="66"/>
      <c r="S193" s="5"/>
      <c r="T193" s="59"/>
      <c r="U193" s="62"/>
      <c r="V193" s="53"/>
      <c r="W193" s="2" t="str">
        <f t="shared" ca="1" si="41"/>
        <v/>
      </c>
      <c r="X193" s="2">
        <f t="shared" si="42"/>
        <v>0</v>
      </c>
      <c r="Y193" s="2" t="str">
        <f t="shared" ca="1" si="35"/>
        <v/>
      </c>
      <c r="Z193" s="1" t="str">
        <f t="shared" ca="1" si="43"/>
        <v/>
      </c>
      <c r="AA193" s="2" t="str">
        <f t="shared" ca="1" si="44"/>
        <v/>
      </c>
      <c r="AB193" s="2" t="str">
        <f t="shared" ca="1" si="47"/>
        <v/>
      </c>
      <c r="AC193" s="1" t="str">
        <f t="shared" ca="1" si="45"/>
        <v/>
      </c>
      <c r="AD193" t="str">
        <f t="shared" si="46"/>
        <v/>
      </c>
    </row>
    <row r="194" spans="1:30" s="2" customFormat="1">
      <c r="A194" s="30" t="str">
        <f t="shared" si="32"/>
        <v/>
      </c>
      <c r="B194" s="14"/>
      <c r="C194" s="4"/>
      <c r="D194" s="4"/>
      <c r="E194" s="90"/>
      <c r="F194" s="91"/>
      <c r="G194" s="91"/>
      <c r="H194" s="92"/>
      <c r="I194" s="14"/>
      <c r="J194" s="4"/>
      <c r="K194" s="4"/>
      <c r="L194" s="84"/>
      <c r="M194" s="85"/>
      <c r="N194" s="86"/>
      <c r="O194" s="13"/>
      <c r="P194" s="20"/>
      <c r="Q194" s="4"/>
      <c r="R194" s="66"/>
      <c r="S194" s="5"/>
      <c r="T194" s="59"/>
      <c r="U194" s="62"/>
      <c r="V194" s="53"/>
      <c r="W194" s="2" t="str">
        <f t="shared" ca="1" si="41"/>
        <v/>
      </c>
      <c r="X194" s="2">
        <f t="shared" si="42"/>
        <v>0</v>
      </c>
      <c r="Y194" s="2" t="str">
        <f t="shared" ca="1" si="35"/>
        <v/>
      </c>
      <c r="Z194" s="1" t="str">
        <f t="shared" ca="1" si="43"/>
        <v/>
      </c>
      <c r="AA194" s="2" t="str">
        <f t="shared" ca="1" si="44"/>
        <v/>
      </c>
      <c r="AB194" s="2" t="str">
        <f t="shared" ca="1" si="47"/>
        <v/>
      </c>
      <c r="AC194" s="1" t="str">
        <f t="shared" ca="1" si="45"/>
        <v/>
      </c>
      <c r="AD194" t="str">
        <f t="shared" si="46"/>
        <v/>
      </c>
    </row>
    <row r="195" spans="1:30" s="2" customFormat="1">
      <c r="A195" s="30" t="str">
        <f t="shared" si="32"/>
        <v/>
      </c>
      <c r="B195" s="14"/>
      <c r="C195" s="4"/>
      <c r="D195" s="4"/>
      <c r="E195" s="90"/>
      <c r="F195" s="91"/>
      <c r="G195" s="91"/>
      <c r="H195" s="92"/>
      <c r="I195" s="14"/>
      <c r="J195" s="4"/>
      <c r="K195" s="4"/>
      <c r="L195" s="84"/>
      <c r="M195" s="85"/>
      <c r="N195" s="86"/>
      <c r="O195" s="13"/>
      <c r="P195" s="20"/>
      <c r="Q195" s="4"/>
      <c r="R195" s="66"/>
      <c r="S195" s="5"/>
      <c r="T195" s="59"/>
      <c r="U195" s="62"/>
      <c r="V195" s="53"/>
      <c r="W195" s="2" t="str">
        <f t="shared" ca="1" si="41"/>
        <v/>
      </c>
      <c r="X195" s="2">
        <f t="shared" si="42"/>
        <v>0</v>
      </c>
      <c r="Y195" s="2" t="str">
        <f t="shared" ca="1" si="35"/>
        <v/>
      </c>
      <c r="Z195" s="1" t="str">
        <f t="shared" ca="1" si="43"/>
        <v/>
      </c>
      <c r="AA195" s="2" t="str">
        <f t="shared" ca="1" si="44"/>
        <v/>
      </c>
      <c r="AB195" s="2" t="str">
        <f t="shared" ca="1" si="47"/>
        <v/>
      </c>
      <c r="AC195" s="1" t="str">
        <f t="shared" ca="1" si="45"/>
        <v/>
      </c>
      <c r="AD195" t="str">
        <f t="shared" si="46"/>
        <v/>
      </c>
    </row>
    <row r="196" spans="1:30" s="2" customFormat="1">
      <c r="A196" s="30" t="str">
        <f t="shared" si="32"/>
        <v/>
      </c>
      <c r="B196" s="14"/>
      <c r="C196" s="4"/>
      <c r="D196" s="4"/>
      <c r="E196" s="90"/>
      <c r="F196" s="91"/>
      <c r="G196" s="91"/>
      <c r="H196" s="92"/>
      <c r="I196" s="14"/>
      <c r="J196" s="4"/>
      <c r="K196" s="4"/>
      <c r="L196" s="84"/>
      <c r="M196" s="85"/>
      <c r="N196" s="86"/>
      <c r="O196" s="13"/>
      <c r="P196" s="20"/>
      <c r="Q196" s="4"/>
      <c r="R196" s="66"/>
      <c r="S196" s="5"/>
      <c r="T196" s="59"/>
      <c r="U196" s="62"/>
      <c r="V196" s="53"/>
      <c r="W196" s="2" t="str">
        <f t="shared" ca="1" si="41"/>
        <v/>
      </c>
      <c r="X196" s="2">
        <f t="shared" si="42"/>
        <v>0</v>
      </c>
      <c r="Y196" s="2" t="str">
        <f t="shared" ca="1" si="35"/>
        <v/>
      </c>
      <c r="Z196" s="1" t="str">
        <f t="shared" ca="1" si="43"/>
        <v/>
      </c>
      <c r="AA196" s="2" t="str">
        <f t="shared" ca="1" si="44"/>
        <v/>
      </c>
      <c r="AB196" s="2" t="str">
        <f t="shared" ca="1" si="47"/>
        <v/>
      </c>
      <c r="AC196" s="1" t="str">
        <f t="shared" ca="1" si="45"/>
        <v/>
      </c>
      <c r="AD196" t="str">
        <f t="shared" si="46"/>
        <v/>
      </c>
    </row>
    <row r="197" spans="1:30" s="2" customFormat="1">
      <c r="A197" s="30" t="str">
        <f t="shared" ref="A197:A204" si="48">IF(NOT(COUNTA(B197:H197)),"",ROW()-4)</f>
        <v/>
      </c>
      <c r="B197" s="14"/>
      <c r="C197" s="4"/>
      <c r="D197" s="4"/>
      <c r="E197" s="90"/>
      <c r="F197" s="91"/>
      <c r="G197" s="91"/>
      <c r="H197" s="92"/>
      <c r="I197" s="14"/>
      <c r="J197" s="4"/>
      <c r="K197" s="4"/>
      <c r="L197" s="84"/>
      <c r="M197" s="85"/>
      <c r="N197" s="86"/>
      <c r="O197" s="13"/>
      <c r="P197" s="20"/>
      <c r="Q197" s="4"/>
      <c r="R197" s="66"/>
      <c r="S197" s="5"/>
      <c r="T197" s="59"/>
      <c r="U197" s="62"/>
      <c r="V197" s="53"/>
      <c r="W197" s="2" t="str">
        <f t="shared" ref="W197:W204" ca="1" si="49">IF(ISNA(VLOOKUP(P197,內容物Mapping,2,FALSE)),"",VLOOKUP(P197,內容物Mapping,2,FALSE))</f>
        <v/>
      </c>
      <c r="X197" s="2">
        <f t="shared" si="42"/>
        <v>0</v>
      </c>
      <c r="Y197" s="2" t="str">
        <f t="shared" ref="Y197:Y204" ca="1" si="50">IF(ISNA(VLOOKUP(V197,未寄達處理方式Mapping,2,FALSE)),"",VLOOKUP(V197,未寄達處理方式Mapping,2,FALSE))</f>
        <v/>
      </c>
      <c r="Z197" s="1" t="str">
        <f t="shared" ref="Z197:Z204" ca="1" si="51">IF(ISNA(VLOOKUP(D197,地址類別Mapping,2,FALSE)),"",VLOOKUP(D197,地址類別Mapping,2,FALSE))</f>
        <v/>
      </c>
      <c r="AA197" s="2" t="str">
        <f t="shared" ref="AA197:AA204" ca="1" si="52">IF(ISNA(VLOOKUP(E197&amp;"-"&amp;F197,郵遞區號,2,FALSE)),"",VLOOKUP(E197&amp;"-"&amp;F197,郵遞區號,2,FALSE))</f>
        <v/>
      </c>
      <c r="AB197" s="2" t="str">
        <f t="shared" ref="AB197:AB204" ca="1" si="53">IF(ISNA(VLOOKUP(L197&amp;"-"&amp;M197,郵遞區號,2,FALSE)),"",VLOOKUP(L197&amp;"-"&amp;M197,郵遞區號,2,FALSE))</f>
        <v/>
      </c>
      <c r="AC197" s="1" t="str">
        <f t="shared" ref="AC197:AC204" ca="1" si="54">IF(ISNA(VLOOKUP(S197,箱袋種類Mapping,2,FALSE)),"",VLOOKUP(S197,箱袋種類Mapping,2,FALSE))</f>
        <v/>
      </c>
      <c r="AD197" t="str">
        <f t="shared" si="46"/>
        <v/>
      </c>
    </row>
    <row r="198" spans="1:30" s="2" customFormat="1">
      <c r="A198" s="30" t="str">
        <f t="shared" si="48"/>
        <v/>
      </c>
      <c r="B198" s="14"/>
      <c r="C198" s="4"/>
      <c r="D198" s="4"/>
      <c r="E198" s="90"/>
      <c r="F198" s="91"/>
      <c r="G198" s="91"/>
      <c r="H198" s="92"/>
      <c r="I198" s="14"/>
      <c r="J198" s="4"/>
      <c r="K198" s="4"/>
      <c r="L198" s="84"/>
      <c r="M198" s="85"/>
      <c r="N198" s="86"/>
      <c r="O198" s="13"/>
      <c r="P198" s="20"/>
      <c r="Q198" s="4"/>
      <c r="R198" s="66"/>
      <c r="S198" s="5"/>
      <c r="T198" s="59"/>
      <c r="U198" s="62"/>
      <c r="V198" s="53"/>
      <c r="W198" s="2" t="str">
        <f t="shared" ca="1" si="49"/>
        <v/>
      </c>
      <c r="X198" s="2">
        <f t="shared" ref="X198:X204" si="55">IF(P198="其他",TRIM(Q198),P198)</f>
        <v>0</v>
      </c>
      <c r="Y198" s="2" t="str">
        <f t="shared" ca="1" si="50"/>
        <v/>
      </c>
      <c r="Z198" s="1" t="str">
        <f t="shared" ca="1" si="51"/>
        <v/>
      </c>
      <c r="AA198" s="2" t="str">
        <f t="shared" ca="1" si="52"/>
        <v/>
      </c>
      <c r="AB198" s="2" t="str">
        <f t="shared" ca="1" si="53"/>
        <v/>
      </c>
      <c r="AC198" s="1" t="str">
        <f t="shared" ca="1" si="54"/>
        <v/>
      </c>
      <c r="AD198" t="str">
        <f t="shared" ref="AD198:AD204" si="56">IF(TRIM(B198)&lt;&gt;"","202","")</f>
        <v/>
      </c>
    </row>
    <row r="199" spans="1:30" s="2" customFormat="1">
      <c r="A199" s="30" t="str">
        <f t="shared" si="48"/>
        <v/>
      </c>
      <c r="B199" s="14"/>
      <c r="C199" s="4"/>
      <c r="D199" s="4"/>
      <c r="E199" s="90"/>
      <c r="F199" s="91"/>
      <c r="G199" s="91"/>
      <c r="H199" s="92"/>
      <c r="I199" s="14"/>
      <c r="J199" s="4"/>
      <c r="K199" s="4"/>
      <c r="L199" s="84"/>
      <c r="M199" s="85"/>
      <c r="N199" s="86"/>
      <c r="O199" s="13"/>
      <c r="P199" s="20"/>
      <c r="Q199" s="4"/>
      <c r="R199" s="66"/>
      <c r="S199" s="5"/>
      <c r="T199" s="59"/>
      <c r="U199" s="62"/>
      <c r="V199" s="53"/>
      <c r="W199" s="2" t="str">
        <f t="shared" ca="1" si="49"/>
        <v/>
      </c>
      <c r="X199" s="2">
        <f t="shared" si="55"/>
        <v>0</v>
      </c>
      <c r="Y199" s="2" t="str">
        <f t="shared" ca="1" si="50"/>
        <v/>
      </c>
      <c r="Z199" s="1" t="str">
        <f t="shared" ca="1" si="51"/>
        <v/>
      </c>
      <c r="AA199" s="2" t="str">
        <f t="shared" ca="1" si="52"/>
        <v/>
      </c>
      <c r="AB199" s="2" t="str">
        <f t="shared" ca="1" si="53"/>
        <v/>
      </c>
      <c r="AC199" s="1" t="str">
        <f t="shared" ca="1" si="54"/>
        <v/>
      </c>
      <c r="AD199" t="str">
        <f t="shared" si="56"/>
        <v/>
      </c>
    </row>
    <row r="200" spans="1:30" s="2" customFormat="1">
      <c r="A200" s="30" t="str">
        <f t="shared" si="48"/>
        <v/>
      </c>
      <c r="B200" s="14"/>
      <c r="C200" s="4"/>
      <c r="D200" s="4"/>
      <c r="E200" s="90"/>
      <c r="F200" s="91"/>
      <c r="G200" s="91"/>
      <c r="H200" s="92"/>
      <c r="I200" s="14"/>
      <c r="J200" s="4"/>
      <c r="K200" s="4"/>
      <c r="L200" s="84"/>
      <c r="M200" s="85"/>
      <c r="N200" s="86"/>
      <c r="O200" s="13"/>
      <c r="P200" s="20"/>
      <c r="Q200" s="4"/>
      <c r="R200" s="66"/>
      <c r="S200" s="5"/>
      <c r="T200" s="59"/>
      <c r="U200" s="62"/>
      <c r="V200" s="53"/>
      <c r="W200" s="2" t="str">
        <f t="shared" ca="1" si="49"/>
        <v/>
      </c>
      <c r="X200" s="2">
        <f t="shared" si="55"/>
        <v>0</v>
      </c>
      <c r="Y200" s="2" t="str">
        <f t="shared" ca="1" si="50"/>
        <v/>
      </c>
      <c r="Z200" s="1" t="str">
        <f t="shared" ca="1" si="51"/>
        <v/>
      </c>
      <c r="AA200" s="2" t="str">
        <f t="shared" ca="1" si="52"/>
        <v/>
      </c>
      <c r="AB200" s="2" t="str">
        <f t="shared" ca="1" si="53"/>
        <v/>
      </c>
      <c r="AC200" s="1" t="str">
        <f t="shared" ca="1" si="54"/>
        <v/>
      </c>
      <c r="AD200" t="str">
        <f t="shared" si="56"/>
        <v/>
      </c>
    </row>
    <row r="201" spans="1:30" s="2" customFormat="1">
      <c r="A201" s="30" t="str">
        <f t="shared" si="48"/>
        <v/>
      </c>
      <c r="B201" s="14"/>
      <c r="C201" s="4"/>
      <c r="D201" s="4"/>
      <c r="E201" s="90"/>
      <c r="F201" s="91"/>
      <c r="G201" s="91"/>
      <c r="H201" s="92"/>
      <c r="I201" s="14"/>
      <c r="J201" s="4"/>
      <c r="K201" s="4"/>
      <c r="L201" s="84"/>
      <c r="M201" s="85"/>
      <c r="N201" s="86"/>
      <c r="O201" s="13"/>
      <c r="P201" s="20"/>
      <c r="Q201" s="4"/>
      <c r="R201" s="66"/>
      <c r="S201" s="5"/>
      <c r="T201" s="59"/>
      <c r="U201" s="62"/>
      <c r="V201" s="53"/>
      <c r="W201" s="2" t="str">
        <f t="shared" ca="1" si="49"/>
        <v/>
      </c>
      <c r="X201" s="2">
        <f t="shared" si="55"/>
        <v>0</v>
      </c>
      <c r="Y201" s="2" t="str">
        <f t="shared" ca="1" si="50"/>
        <v/>
      </c>
      <c r="Z201" s="1" t="str">
        <f t="shared" ca="1" si="51"/>
        <v/>
      </c>
      <c r="AA201" s="2" t="str">
        <f t="shared" ca="1" si="52"/>
        <v/>
      </c>
      <c r="AB201" s="2" t="str">
        <f t="shared" ca="1" si="53"/>
        <v/>
      </c>
      <c r="AC201" s="1" t="str">
        <f t="shared" ca="1" si="54"/>
        <v/>
      </c>
      <c r="AD201" t="str">
        <f t="shared" si="56"/>
        <v/>
      </c>
    </row>
    <row r="202" spans="1:30" s="2" customFormat="1">
      <c r="A202" s="30" t="str">
        <f t="shared" si="48"/>
        <v/>
      </c>
      <c r="B202" s="14"/>
      <c r="C202" s="4"/>
      <c r="D202" s="4"/>
      <c r="E202" s="90"/>
      <c r="F202" s="91"/>
      <c r="G202" s="91"/>
      <c r="H202" s="92"/>
      <c r="I202" s="14"/>
      <c r="J202" s="4"/>
      <c r="K202" s="4"/>
      <c r="L202" s="84"/>
      <c r="M202" s="85"/>
      <c r="N202" s="86"/>
      <c r="O202" s="13"/>
      <c r="P202" s="20"/>
      <c r="Q202" s="4"/>
      <c r="R202" s="66"/>
      <c r="S202" s="5"/>
      <c r="T202" s="59"/>
      <c r="U202" s="62"/>
      <c r="V202" s="53"/>
      <c r="W202" s="2" t="str">
        <f t="shared" ca="1" si="49"/>
        <v/>
      </c>
      <c r="X202" s="2">
        <f t="shared" si="55"/>
        <v>0</v>
      </c>
      <c r="Y202" s="2" t="str">
        <f t="shared" ca="1" si="50"/>
        <v/>
      </c>
      <c r="Z202" s="1" t="str">
        <f t="shared" ca="1" si="51"/>
        <v/>
      </c>
      <c r="AA202" s="2" t="str">
        <f t="shared" ca="1" si="52"/>
        <v/>
      </c>
      <c r="AB202" s="2" t="str">
        <f t="shared" ca="1" si="53"/>
        <v/>
      </c>
      <c r="AC202" s="1" t="str">
        <f t="shared" ca="1" si="54"/>
        <v/>
      </c>
      <c r="AD202" t="str">
        <f t="shared" si="56"/>
        <v/>
      </c>
    </row>
    <row r="203" spans="1:30" s="2" customFormat="1">
      <c r="A203" s="30" t="str">
        <f t="shared" si="48"/>
        <v/>
      </c>
      <c r="B203" s="14"/>
      <c r="C203" s="4"/>
      <c r="D203" s="4"/>
      <c r="E203" s="90"/>
      <c r="F203" s="91"/>
      <c r="G203" s="91"/>
      <c r="H203" s="92"/>
      <c r="I203" s="14"/>
      <c r="J203" s="4"/>
      <c r="K203" s="4"/>
      <c r="L203" s="84"/>
      <c r="M203" s="85"/>
      <c r="N203" s="86"/>
      <c r="O203" s="13"/>
      <c r="P203" s="20"/>
      <c r="Q203" s="4"/>
      <c r="R203" s="66"/>
      <c r="S203" s="5"/>
      <c r="T203" s="59"/>
      <c r="U203" s="62"/>
      <c r="V203" s="53"/>
      <c r="W203" s="2" t="str">
        <f t="shared" ca="1" si="49"/>
        <v/>
      </c>
      <c r="X203" s="2">
        <f t="shared" si="55"/>
        <v>0</v>
      </c>
      <c r="Y203" s="2" t="str">
        <f t="shared" ca="1" si="50"/>
        <v/>
      </c>
      <c r="Z203" s="1" t="str">
        <f t="shared" ca="1" si="51"/>
        <v/>
      </c>
      <c r="AA203" s="2" t="str">
        <f t="shared" ca="1" si="52"/>
        <v/>
      </c>
      <c r="AB203" s="2" t="str">
        <f t="shared" ca="1" si="53"/>
        <v/>
      </c>
      <c r="AC203" s="1" t="str">
        <f t="shared" ca="1" si="54"/>
        <v/>
      </c>
      <c r="AD203" t="str">
        <f t="shared" si="56"/>
        <v/>
      </c>
    </row>
    <row r="204" spans="1:30" s="2" customFormat="1" ht="17.25" thickBot="1">
      <c r="A204" s="38" t="str">
        <f t="shared" si="48"/>
        <v/>
      </c>
      <c r="B204" s="16"/>
      <c r="C204" s="17"/>
      <c r="D204" s="17"/>
      <c r="E204" s="93"/>
      <c r="F204" s="94"/>
      <c r="G204" s="94"/>
      <c r="H204" s="95"/>
      <c r="I204" s="16"/>
      <c r="J204" s="17"/>
      <c r="K204" s="17"/>
      <c r="L204" s="84"/>
      <c r="M204" s="85"/>
      <c r="N204" s="86"/>
      <c r="O204" s="31"/>
      <c r="P204" s="55"/>
      <c r="Q204" s="17"/>
      <c r="R204" s="67"/>
      <c r="S204" s="32"/>
      <c r="T204" s="60"/>
      <c r="U204" s="64"/>
      <c r="V204" s="54"/>
      <c r="W204" s="2" t="str">
        <f t="shared" ca="1" si="49"/>
        <v/>
      </c>
      <c r="X204" s="2">
        <f t="shared" si="55"/>
        <v>0</v>
      </c>
      <c r="Y204" s="2" t="str">
        <f t="shared" ca="1" si="50"/>
        <v/>
      </c>
      <c r="Z204" s="1" t="str">
        <f t="shared" ca="1" si="51"/>
        <v/>
      </c>
      <c r="AA204" s="2" t="str">
        <f t="shared" ca="1" si="52"/>
        <v/>
      </c>
      <c r="AB204" s="2" t="str">
        <f t="shared" ca="1" si="53"/>
        <v/>
      </c>
      <c r="AC204" s="1" t="str">
        <f t="shared" ca="1" si="54"/>
        <v/>
      </c>
      <c r="AD204" t="str">
        <f t="shared" si="56"/>
        <v/>
      </c>
    </row>
    <row r="205" spans="1:30"/>
    <row r="206" spans="1:30"/>
  </sheetData>
  <sheetProtection algorithmName="SHA-512" hashValue="NCW7N+F0b2R2rayFi4iHmZvx21GqZ2VseQz5jdEQ6YgqGXQ7ea6YKSAikoSNXQcg94563Nia3uTnrJnRqY4TMw==" saltValue="wHTreUYQMm5tTqCsnDjyGQ==" spinCount="100000" sheet="1" objects="1" scenarios="1"/>
  <mergeCells count="405">
    <mergeCell ref="E5:H5"/>
    <mergeCell ref="E4:H4"/>
    <mergeCell ref="L5:N5"/>
    <mergeCell ref="E9:H9"/>
    <mergeCell ref="E17:H17"/>
    <mergeCell ref="E18:H18"/>
    <mergeCell ref="E7:H7"/>
    <mergeCell ref="E8:H8"/>
    <mergeCell ref="E10:H10"/>
    <mergeCell ref="E11:H11"/>
    <mergeCell ref="E12:H12"/>
    <mergeCell ref="E13:H13"/>
    <mergeCell ref="L7:N7"/>
    <mergeCell ref="L8:N8"/>
    <mergeCell ref="L9:N9"/>
    <mergeCell ref="L10:N10"/>
    <mergeCell ref="L11:N11"/>
    <mergeCell ref="L12:N12"/>
    <mergeCell ref="E6:H6"/>
    <mergeCell ref="L6:N6"/>
    <mergeCell ref="E19:H19"/>
    <mergeCell ref="E20:H20"/>
    <mergeCell ref="E21:H21"/>
    <mergeCell ref="E22:H22"/>
    <mergeCell ref="E23:H23"/>
    <mergeCell ref="E24:H24"/>
    <mergeCell ref="E14:H14"/>
    <mergeCell ref="E15:H15"/>
    <mergeCell ref="E16:H16"/>
    <mergeCell ref="E31:H31"/>
    <mergeCell ref="E32:H32"/>
    <mergeCell ref="E33:H33"/>
    <mergeCell ref="E34:H34"/>
    <mergeCell ref="E35:H35"/>
    <mergeCell ref="E36:H36"/>
    <mergeCell ref="E25:H25"/>
    <mergeCell ref="E26:H26"/>
    <mergeCell ref="E27:H27"/>
    <mergeCell ref="E28:H28"/>
    <mergeCell ref="E29:H29"/>
    <mergeCell ref="E30:H30"/>
    <mergeCell ref="E43:H43"/>
    <mergeCell ref="E44:H44"/>
    <mergeCell ref="E45:H45"/>
    <mergeCell ref="E46:H46"/>
    <mergeCell ref="E47:H47"/>
    <mergeCell ref="E48:H48"/>
    <mergeCell ref="E37:H37"/>
    <mergeCell ref="E38:H38"/>
    <mergeCell ref="E39:H39"/>
    <mergeCell ref="E40:H40"/>
    <mergeCell ref="E41:H41"/>
    <mergeCell ref="E42:H42"/>
    <mergeCell ref="E55:H55"/>
    <mergeCell ref="E56:H56"/>
    <mergeCell ref="E57:H57"/>
    <mergeCell ref="E58:H58"/>
    <mergeCell ref="E59:H59"/>
    <mergeCell ref="E60:H60"/>
    <mergeCell ref="E49:H49"/>
    <mergeCell ref="E50:H50"/>
    <mergeCell ref="E51:H51"/>
    <mergeCell ref="E52:H52"/>
    <mergeCell ref="E53:H53"/>
    <mergeCell ref="E54:H54"/>
    <mergeCell ref="E67:H67"/>
    <mergeCell ref="E68:H68"/>
    <mergeCell ref="E69:H69"/>
    <mergeCell ref="E70:H70"/>
    <mergeCell ref="E71:H71"/>
    <mergeCell ref="E72:H72"/>
    <mergeCell ref="E61:H61"/>
    <mergeCell ref="E62:H62"/>
    <mergeCell ref="E63:H63"/>
    <mergeCell ref="E64:H64"/>
    <mergeCell ref="E65:H65"/>
    <mergeCell ref="E66:H66"/>
    <mergeCell ref="E79:H79"/>
    <mergeCell ref="E80:H80"/>
    <mergeCell ref="E81:H81"/>
    <mergeCell ref="E82:H82"/>
    <mergeCell ref="E83:H83"/>
    <mergeCell ref="E84:H84"/>
    <mergeCell ref="E73:H73"/>
    <mergeCell ref="E74:H74"/>
    <mergeCell ref="E75:H75"/>
    <mergeCell ref="E76:H76"/>
    <mergeCell ref="E77:H77"/>
    <mergeCell ref="E78:H78"/>
    <mergeCell ref="E91:H91"/>
    <mergeCell ref="E92:H92"/>
    <mergeCell ref="E93:H93"/>
    <mergeCell ref="E94:H94"/>
    <mergeCell ref="E95:H95"/>
    <mergeCell ref="E96:H96"/>
    <mergeCell ref="E85:H85"/>
    <mergeCell ref="E86:H86"/>
    <mergeCell ref="E87:H87"/>
    <mergeCell ref="E88:H88"/>
    <mergeCell ref="E89:H89"/>
    <mergeCell ref="E90:H90"/>
    <mergeCell ref="E103:H103"/>
    <mergeCell ref="E104:H104"/>
    <mergeCell ref="E105:H105"/>
    <mergeCell ref="E106:H106"/>
    <mergeCell ref="E107:H107"/>
    <mergeCell ref="E108:H108"/>
    <mergeCell ref="E97:H97"/>
    <mergeCell ref="E98:H98"/>
    <mergeCell ref="E99:H99"/>
    <mergeCell ref="E100:H100"/>
    <mergeCell ref="E101:H101"/>
    <mergeCell ref="E102:H102"/>
    <mergeCell ref="E115:H115"/>
    <mergeCell ref="E116:H116"/>
    <mergeCell ref="E117:H117"/>
    <mergeCell ref="E118:H118"/>
    <mergeCell ref="E119:H119"/>
    <mergeCell ref="E120:H120"/>
    <mergeCell ref="E109:H109"/>
    <mergeCell ref="E110:H110"/>
    <mergeCell ref="E111:H111"/>
    <mergeCell ref="E112:H112"/>
    <mergeCell ref="E113:H113"/>
    <mergeCell ref="E114:H114"/>
    <mergeCell ref="E127:H127"/>
    <mergeCell ref="E128:H128"/>
    <mergeCell ref="E129:H129"/>
    <mergeCell ref="E130:H130"/>
    <mergeCell ref="E131:H131"/>
    <mergeCell ref="E132:H132"/>
    <mergeCell ref="E121:H121"/>
    <mergeCell ref="E122:H122"/>
    <mergeCell ref="E123:H123"/>
    <mergeCell ref="E124:H124"/>
    <mergeCell ref="E125:H125"/>
    <mergeCell ref="E126:H126"/>
    <mergeCell ref="E139:H139"/>
    <mergeCell ref="E140:H140"/>
    <mergeCell ref="E141:H141"/>
    <mergeCell ref="E142:H142"/>
    <mergeCell ref="E143:H143"/>
    <mergeCell ref="E144:H144"/>
    <mergeCell ref="E133:H133"/>
    <mergeCell ref="E134:H134"/>
    <mergeCell ref="E135:H135"/>
    <mergeCell ref="E136:H136"/>
    <mergeCell ref="E137:H137"/>
    <mergeCell ref="E138:H138"/>
    <mergeCell ref="E151:H151"/>
    <mergeCell ref="E152:H152"/>
    <mergeCell ref="E153:H153"/>
    <mergeCell ref="E154:H154"/>
    <mergeCell ref="E155:H155"/>
    <mergeCell ref="E156:H156"/>
    <mergeCell ref="E145:H145"/>
    <mergeCell ref="E146:H146"/>
    <mergeCell ref="E147:H147"/>
    <mergeCell ref="E148:H148"/>
    <mergeCell ref="E149:H149"/>
    <mergeCell ref="E150:H150"/>
    <mergeCell ref="E163:H163"/>
    <mergeCell ref="E164:H164"/>
    <mergeCell ref="E165:H165"/>
    <mergeCell ref="E166:H166"/>
    <mergeCell ref="E167:H167"/>
    <mergeCell ref="E168:H168"/>
    <mergeCell ref="E157:H157"/>
    <mergeCell ref="E158:H158"/>
    <mergeCell ref="E159:H159"/>
    <mergeCell ref="E160:H160"/>
    <mergeCell ref="E161:H161"/>
    <mergeCell ref="E162:H162"/>
    <mergeCell ref="E178:H178"/>
    <mergeCell ref="E179:H179"/>
    <mergeCell ref="E180:H180"/>
    <mergeCell ref="E169:H169"/>
    <mergeCell ref="E170:H170"/>
    <mergeCell ref="E171:H171"/>
    <mergeCell ref="E172:H172"/>
    <mergeCell ref="E173:H173"/>
    <mergeCell ref="E174:H174"/>
    <mergeCell ref="E175:H175"/>
    <mergeCell ref="E176:H176"/>
    <mergeCell ref="E177:H177"/>
    <mergeCell ref="E202:H202"/>
    <mergeCell ref="E203:H203"/>
    <mergeCell ref="E204:H204"/>
    <mergeCell ref="E193:H193"/>
    <mergeCell ref="E194:H194"/>
    <mergeCell ref="E195:H195"/>
    <mergeCell ref="E196:H196"/>
    <mergeCell ref="E197:H197"/>
    <mergeCell ref="E198:H198"/>
    <mergeCell ref="E199:H199"/>
    <mergeCell ref="E200:H200"/>
    <mergeCell ref="E201:H201"/>
    <mergeCell ref="E187:H187"/>
    <mergeCell ref="E188:H188"/>
    <mergeCell ref="E189:H189"/>
    <mergeCell ref="E190:H190"/>
    <mergeCell ref="E191:H191"/>
    <mergeCell ref="E192:H192"/>
    <mergeCell ref="E181:H181"/>
    <mergeCell ref="E182:H182"/>
    <mergeCell ref="E183:H183"/>
    <mergeCell ref="E184:H184"/>
    <mergeCell ref="E185:H185"/>
    <mergeCell ref="E186:H186"/>
    <mergeCell ref="L19:N19"/>
    <mergeCell ref="L20:N20"/>
    <mergeCell ref="L21:N21"/>
    <mergeCell ref="L22:N22"/>
    <mergeCell ref="L23:N23"/>
    <mergeCell ref="L24:N24"/>
    <mergeCell ref="L13:N13"/>
    <mergeCell ref="L14:N14"/>
    <mergeCell ref="L15:N15"/>
    <mergeCell ref="L16:N16"/>
    <mergeCell ref="L17:N17"/>
    <mergeCell ref="L18:N18"/>
    <mergeCell ref="L31:N31"/>
    <mergeCell ref="L32:N32"/>
    <mergeCell ref="L33:N33"/>
    <mergeCell ref="L34:N34"/>
    <mergeCell ref="L35:N35"/>
    <mergeCell ref="L36:N36"/>
    <mergeCell ref="L25:N25"/>
    <mergeCell ref="L26:N26"/>
    <mergeCell ref="L27:N27"/>
    <mergeCell ref="L28:N28"/>
    <mergeCell ref="L29:N29"/>
    <mergeCell ref="L30:N30"/>
    <mergeCell ref="L43:N43"/>
    <mergeCell ref="L44:N44"/>
    <mergeCell ref="L45:N45"/>
    <mergeCell ref="L46:N46"/>
    <mergeCell ref="L47:N47"/>
    <mergeCell ref="L48:N48"/>
    <mergeCell ref="L37:N37"/>
    <mergeCell ref="L38:N38"/>
    <mergeCell ref="L39:N39"/>
    <mergeCell ref="L40:N40"/>
    <mergeCell ref="L41:N41"/>
    <mergeCell ref="L42:N42"/>
    <mergeCell ref="L55:N55"/>
    <mergeCell ref="L56:N56"/>
    <mergeCell ref="L57:N57"/>
    <mergeCell ref="L58:N58"/>
    <mergeCell ref="L59:N59"/>
    <mergeCell ref="L60:N60"/>
    <mergeCell ref="L49:N49"/>
    <mergeCell ref="L50:N50"/>
    <mergeCell ref="L51:N51"/>
    <mergeCell ref="L52:N52"/>
    <mergeCell ref="L53:N53"/>
    <mergeCell ref="L54:N54"/>
    <mergeCell ref="L67:N67"/>
    <mergeCell ref="L68:N68"/>
    <mergeCell ref="L69:N69"/>
    <mergeCell ref="L70:N70"/>
    <mergeCell ref="L71:N71"/>
    <mergeCell ref="L72:N72"/>
    <mergeCell ref="L61:N61"/>
    <mergeCell ref="L62:N62"/>
    <mergeCell ref="L63:N63"/>
    <mergeCell ref="L64:N64"/>
    <mergeCell ref="L65:N65"/>
    <mergeCell ref="L66:N66"/>
    <mergeCell ref="L79:N79"/>
    <mergeCell ref="L80:N80"/>
    <mergeCell ref="L81:N81"/>
    <mergeCell ref="L82:N82"/>
    <mergeCell ref="L83:N83"/>
    <mergeCell ref="L84:N84"/>
    <mergeCell ref="L73:N73"/>
    <mergeCell ref="L74:N74"/>
    <mergeCell ref="L75:N75"/>
    <mergeCell ref="L76:N76"/>
    <mergeCell ref="L77:N77"/>
    <mergeCell ref="L78:N78"/>
    <mergeCell ref="L91:N91"/>
    <mergeCell ref="L92:N92"/>
    <mergeCell ref="L93:N93"/>
    <mergeCell ref="L94:N94"/>
    <mergeCell ref="L95:N95"/>
    <mergeCell ref="L96:N96"/>
    <mergeCell ref="L85:N85"/>
    <mergeCell ref="L86:N86"/>
    <mergeCell ref="L87:N87"/>
    <mergeCell ref="L88:N88"/>
    <mergeCell ref="L89:N89"/>
    <mergeCell ref="L90:N90"/>
    <mergeCell ref="L103:N103"/>
    <mergeCell ref="L104:N104"/>
    <mergeCell ref="L105:N105"/>
    <mergeCell ref="L106:N106"/>
    <mergeCell ref="L107:N107"/>
    <mergeCell ref="L108:N108"/>
    <mergeCell ref="L97:N97"/>
    <mergeCell ref="L98:N98"/>
    <mergeCell ref="L99:N99"/>
    <mergeCell ref="L100:N100"/>
    <mergeCell ref="L101:N101"/>
    <mergeCell ref="L102:N102"/>
    <mergeCell ref="L115:N115"/>
    <mergeCell ref="L116:N116"/>
    <mergeCell ref="L117:N117"/>
    <mergeCell ref="L118:N118"/>
    <mergeCell ref="L119:N119"/>
    <mergeCell ref="L120:N120"/>
    <mergeCell ref="L109:N109"/>
    <mergeCell ref="L110:N110"/>
    <mergeCell ref="L111:N111"/>
    <mergeCell ref="L112:N112"/>
    <mergeCell ref="L113:N113"/>
    <mergeCell ref="L114:N114"/>
    <mergeCell ref="L127:N127"/>
    <mergeCell ref="L128:N128"/>
    <mergeCell ref="L129:N129"/>
    <mergeCell ref="L130:N130"/>
    <mergeCell ref="L131:N131"/>
    <mergeCell ref="L132:N132"/>
    <mergeCell ref="L121:N121"/>
    <mergeCell ref="L122:N122"/>
    <mergeCell ref="L123:N123"/>
    <mergeCell ref="L124:N124"/>
    <mergeCell ref="L125:N125"/>
    <mergeCell ref="L126:N126"/>
    <mergeCell ref="L139:N139"/>
    <mergeCell ref="L140:N140"/>
    <mergeCell ref="L141:N141"/>
    <mergeCell ref="L142:N142"/>
    <mergeCell ref="L143:N143"/>
    <mergeCell ref="L144:N144"/>
    <mergeCell ref="L133:N133"/>
    <mergeCell ref="L134:N134"/>
    <mergeCell ref="L135:N135"/>
    <mergeCell ref="L136:N136"/>
    <mergeCell ref="L137:N137"/>
    <mergeCell ref="L138:N138"/>
    <mergeCell ref="L151:N151"/>
    <mergeCell ref="L152:N152"/>
    <mergeCell ref="L153:N153"/>
    <mergeCell ref="L154:N154"/>
    <mergeCell ref="L155:N155"/>
    <mergeCell ref="L156:N156"/>
    <mergeCell ref="L157:N157"/>
    <mergeCell ref="L158:N158"/>
    <mergeCell ref="L145:N145"/>
    <mergeCell ref="L146:N146"/>
    <mergeCell ref="L147:N147"/>
    <mergeCell ref="L148:N148"/>
    <mergeCell ref="L149:N149"/>
    <mergeCell ref="L150:N150"/>
    <mergeCell ref="L167:N167"/>
    <mergeCell ref="L168:N168"/>
    <mergeCell ref="L171:N171"/>
    <mergeCell ref="L172:N172"/>
    <mergeCell ref="L169:N169"/>
    <mergeCell ref="L170:N170"/>
    <mergeCell ref="L159:N159"/>
    <mergeCell ref="L160:N160"/>
    <mergeCell ref="L161:N161"/>
    <mergeCell ref="L162:N162"/>
    <mergeCell ref="L165:N165"/>
    <mergeCell ref="L166:N166"/>
    <mergeCell ref="L163:N163"/>
    <mergeCell ref="L164:N164"/>
    <mergeCell ref="L179:N179"/>
    <mergeCell ref="L180:N180"/>
    <mergeCell ref="L183:N183"/>
    <mergeCell ref="L184:N184"/>
    <mergeCell ref="L181:N181"/>
    <mergeCell ref="L182:N182"/>
    <mergeCell ref="L173:N173"/>
    <mergeCell ref="L174:N174"/>
    <mergeCell ref="L177:N177"/>
    <mergeCell ref="L178:N178"/>
    <mergeCell ref="L175:N175"/>
    <mergeCell ref="L176:N176"/>
    <mergeCell ref="A2:Y2"/>
    <mergeCell ref="E1:H1"/>
    <mergeCell ref="L1:N1"/>
    <mergeCell ref="L204:N204"/>
    <mergeCell ref="L4:N4"/>
    <mergeCell ref="L198:N198"/>
    <mergeCell ref="L199:N199"/>
    <mergeCell ref="L200:N200"/>
    <mergeCell ref="L201:N201"/>
    <mergeCell ref="L202:N202"/>
    <mergeCell ref="L203:N203"/>
    <mergeCell ref="L196:N196"/>
    <mergeCell ref="L197:N197"/>
    <mergeCell ref="L186:N186"/>
    <mergeCell ref="L187:N187"/>
    <mergeCell ref="L188:N188"/>
    <mergeCell ref="L189:N189"/>
    <mergeCell ref="L190:N190"/>
    <mergeCell ref="L185:N185"/>
    <mergeCell ref="L192:N192"/>
    <mergeCell ref="L193:N193"/>
    <mergeCell ref="L195:N195"/>
    <mergeCell ref="L194:N194"/>
    <mergeCell ref="L191:N191"/>
  </mergeCells>
  <phoneticPr fontId="16" type="noConversion"/>
  <dataValidations count="5">
    <dataValidation type="list" allowBlank="1" showInputMessage="1" showErrorMessage="1" sqref="P5:P204" xr:uid="{1FB9341F-F803-43E7-8E8C-D0C47ED9BB9B}">
      <formula1>內容物</formula1>
    </dataValidation>
    <dataValidation type="list" allowBlank="1" showInputMessage="1" showErrorMessage="1" sqref="V5:V204" xr:uid="{F297E0BC-929B-4FAF-9EA7-482C848382FC}">
      <formula1>未送達處理方式</formula1>
    </dataValidation>
    <dataValidation type="list" allowBlank="1" showInputMessage="1" showErrorMessage="1" sqref="S5:S204" xr:uid="{EAC88BEB-0F5A-4E8E-842E-E63F03D0BEF9}">
      <formula1>箱袋種類</formula1>
    </dataValidation>
    <dataValidation type="list" allowBlank="1" showInputMessage="1" showErrorMessage="1" sqref="D5:D204" xr:uid="{BE7FB55E-4DDB-4204-8711-B44A756655D5}">
      <formula1>地址類別</formula1>
    </dataValidation>
    <dataValidation type="whole" allowBlank="1" showInputMessage="1" showErrorMessage="1" sqref="U5:U204" xr:uid="{52C1ACEE-0A8B-4099-BEA8-3C9C7AEC294B}">
      <formula1>0</formula1>
      <formula2>50000</formula2>
    </dataValidation>
  </dataValidations>
  <pageMargins left="0.70866141732283472" right="0.70866141732283472" top="0.74803149606299213" bottom="0.74803149606299213" header="0.31496062992125984" footer="0.31496062992125984"/>
  <pageSetup paperSize="9" scale="45" fitToHeight="1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3743-3C51-4CE6-8A1C-1ED3258A4D4D}">
  <dimension ref="A1:R57"/>
  <sheetViews>
    <sheetView zoomScaleNormal="100" workbookViewId="0">
      <selection sqref="A1:G1"/>
    </sheetView>
  </sheetViews>
  <sheetFormatPr defaultRowHeight="16.5"/>
  <cols>
    <col min="1" max="1" width="13.125" customWidth="1"/>
    <col min="2" max="2" width="11.625" customWidth="1"/>
    <col min="3" max="3" width="15.625" customWidth="1"/>
    <col min="4" max="4" width="11.625" customWidth="1"/>
    <col min="5" max="5" width="15.625" customWidth="1"/>
    <col min="6" max="6" width="11.625" customWidth="1"/>
    <col min="7" max="7" width="15.625" customWidth="1"/>
    <col min="10" max="10" width="9" customWidth="1"/>
    <col min="14" max="18" width="9" customWidth="1"/>
  </cols>
  <sheetData>
    <row r="1" spans="1:7" ht="21" thickBot="1">
      <c r="A1" s="111" t="s">
        <v>901</v>
      </c>
      <c r="B1" s="111"/>
      <c r="C1" s="111"/>
      <c r="D1" s="111"/>
      <c r="E1" s="111"/>
      <c r="F1" s="111"/>
      <c r="G1" s="111"/>
    </row>
    <row r="2" spans="1:7" ht="17.25" thickBot="1">
      <c r="A2" s="112" t="s">
        <v>902</v>
      </c>
      <c r="B2" s="113"/>
      <c r="C2" s="113"/>
      <c r="D2" s="113"/>
      <c r="E2" s="113"/>
      <c r="F2" s="113"/>
      <c r="G2" s="113"/>
    </row>
    <row r="3" spans="1:7" ht="17.25" thickBot="1">
      <c r="A3" s="105" t="s">
        <v>903</v>
      </c>
      <c r="B3" s="108" t="s">
        <v>877</v>
      </c>
      <c r="C3" s="109"/>
      <c r="D3" s="109"/>
      <c r="E3" s="109"/>
      <c r="F3" s="109"/>
      <c r="G3" s="110"/>
    </row>
    <row r="4" spans="1:7" ht="30.95" customHeight="1">
      <c r="A4" s="106"/>
      <c r="B4" s="114" t="s">
        <v>904</v>
      </c>
      <c r="C4" s="115"/>
      <c r="D4" s="114" t="s">
        <v>905</v>
      </c>
      <c r="E4" s="120"/>
      <c r="F4" s="114" t="s">
        <v>906</v>
      </c>
      <c r="G4" s="125"/>
    </row>
    <row r="5" spans="1:7" ht="30.95" customHeight="1">
      <c r="A5" s="106"/>
      <c r="B5" s="116"/>
      <c r="C5" s="117"/>
      <c r="D5" s="121"/>
      <c r="E5" s="122"/>
      <c r="F5" s="121"/>
      <c r="G5" s="126"/>
    </row>
    <row r="6" spans="1:7" ht="30.95" customHeight="1" thickBot="1">
      <c r="A6" s="106"/>
      <c r="B6" s="118"/>
      <c r="C6" s="119"/>
      <c r="D6" s="123"/>
      <c r="E6" s="124"/>
      <c r="F6" s="123"/>
      <c r="G6" s="127"/>
    </row>
    <row r="7" spans="1:7">
      <c r="A7" s="106"/>
      <c r="B7" s="128" t="s">
        <v>878</v>
      </c>
      <c r="C7" s="68" t="s">
        <v>879</v>
      </c>
      <c r="D7" s="128" t="s">
        <v>878</v>
      </c>
      <c r="E7" s="68" t="s">
        <v>879</v>
      </c>
      <c r="F7" s="128" t="s">
        <v>878</v>
      </c>
      <c r="G7" s="72" t="s">
        <v>879</v>
      </c>
    </row>
    <row r="8" spans="1:7" ht="17.25" thickBot="1">
      <c r="A8" s="107"/>
      <c r="B8" s="129"/>
      <c r="C8" s="69" t="s">
        <v>880</v>
      </c>
      <c r="D8" s="129"/>
      <c r="E8" s="69" t="s">
        <v>880</v>
      </c>
      <c r="F8" s="129"/>
      <c r="G8" s="73" t="s">
        <v>880</v>
      </c>
    </row>
    <row r="9" spans="1:7" ht="30.95" customHeight="1" thickBot="1">
      <c r="A9" s="70" t="s">
        <v>907</v>
      </c>
      <c r="B9" s="71">
        <v>70</v>
      </c>
      <c r="C9" s="71">
        <v>48</v>
      </c>
      <c r="D9" s="71">
        <v>80</v>
      </c>
      <c r="E9" s="71">
        <v>58</v>
      </c>
      <c r="F9" s="71">
        <v>100</v>
      </c>
      <c r="G9" s="71">
        <v>78</v>
      </c>
    </row>
    <row r="10" spans="1:7" ht="30.95" customHeight="1" thickBot="1">
      <c r="A10" s="49" t="s">
        <v>908</v>
      </c>
      <c r="B10" s="48">
        <v>90</v>
      </c>
      <c r="C10" s="48">
        <v>68</v>
      </c>
      <c r="D10" s="48">
        <v>100</v>
      </c>
      <c r="E10" s="48">
        <v>78</v>
      </c>
      <c r="F10" s="48">
        <v>125</v>
      </c>
      <c r="G10" s="48">
        <v>103</v>
      </c>
    </row>
    <row r="11" spans="1:7" ht="30.95" customHeight="1" thickBot="1">
      <c r="A11" s="75" t="s">
        <v>909</v>
      </c>
      <c r="B11" s="71">
        <v>110</v>
      </c>
      <c r="C11" s="71">
        <v>88</v>
      </c>
      <c r="D11" s="71">
        <v>120</v>
      </c>
      <c r="E11" s="71">
        <v>98</v>
      </c>
      <c r="F11" s="71">
        <v>150</v>
      </c>
      <c r="G11" s="71">
        <v>128</v>
      </c>
    </row>
    <row r="12" spans="1:7" ht="30.95" customHeight="1" thickBot="1">
      <c r="A12" s="49" t="s">
        <v>910</v>
      </c>
      <c r="B12" s="48">
        <v>135</v>
      </c>
      <c r="C12" s="48">
        <v>113</v>
      </c>
      <c r="D12" s="48">
        <v>145</v>
      </c>
      <c r="E12" s="48">
        <v>123</v>
      </c>
      <c r="F12" s="48">
        <v>180</v>
      </c>
      <c r="G12" s="48">
        <v>158</v>
      </c>
    </row>
    <row r="13" spans="1:7" ht="30.95" customHeight="1" thickBot="1">
      <c r="A13" s="74" t="s">
        <v>881</v>
      </c>
      <c r="B13" s="130" t="s">
        <v>882</v>
      </c>
      <c r="C13" s="131"/>
      <c r="D13" s="131"/>
      <c r="E13" s="131"/>
      <c r="F13" s="131"/>
      <c r="G13" s="132"/>
    </row>
    <row r="14" spans="1:7" ht="30.95" customHeight="1" thickBot="1">
      <c r="A14" s="49"/>
      <c r="B14" s="48"/>
      <c r="C14" s="48"/>
      <c r="D14" s="48"/>
      <c r="E14" s="48"/>
      <c r="F14" s="48"/>
      <c r="G14" s="48"/>
    </row>
    <row r="15" spans="1:7" ht="30.95" customHeight="1" thickBot="1">
      <c r="A15" s="104" t="s">
        <v>911</v>
      </c>
      <c r="B15" s="104"/>
      <c r="C15" s="104"/>
      <c r="D15" s="104"/>
      <c r="E15" s="104"/>
      <c r="F15" s="104"/>
      <c r="G15" s="104"/>
    </row>
    <row r="16" spans="1:7" ht="17.25" thickBot="1">
      <c r="A16" s="112" t="s">
        <v>912</v>
      </c>
      <c r="B16" s="113"/>
      <c r="C16" s="113"/>
      <c r="D16" s="113"/>
      <c r="E16" s="113"/>
      <c r="F16" s="113"/>
      <c r="G16" s="113"/>
    </row>
    <row r="18" spans="1:18" ht="17.25" customHeight="1"/>
    <row r="19" spans="1:18">
      <c r="A19" s="50"/>
      <c r="B19" s="50"/>
      <c r="C19" s="50"/>
      <c r="D19" s="50"/>
      <c r="E19" s="50"/>
      <c r="F19" s="50"/>
      <c r="G19" s="50"/>
    </row>
    <row r="20" spans="1:18">
      <c r="A20" s="43"/>
      <c r="F20" s="43"/>
    </row>
    <row r="21" spans="1:18">
      <c r="A21" s="50"/>
      <c r="B21" s="50"/>
      <c r="C21" s="50"/>
      <c r="D21" s="50"/>
      <c r="E21" s="50"/>
      <c r="F21" s="50"/>
      <c r="G21" s="50"/>
      <c r="H21" s="50"/>
    </row>
    <row r="22" spans="1:18">
      <c r="A22" s="43"/>
      <c r="B22" s="43"/>
      <c r="C22" s="43"/>
      <c r="D22" s="43"/>
      <c r="E22" s="43"/>
      <c r="F22" s="43"/>
      <c r="G22" s="43"/>
      <c r="J22" s="43"/>
    </row>
    <row r="23" spans="1:18">
      <c r="A23" s="43"/>
      <c r="B23" s="43"/>
      <c r="C23" s="43"/>
      <c r="D23" s="43"/>
      <c r="E23" s="43"/>
      <c r="F23" s="43"/>
      <c r="G23" s="43"/>
    </row>
    <row r="24" spans="1:18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N24" s="44"/>
      <c r="O24" s="44"/>
      <c r="P24" s="44"/>
      <c r="Q24" s="44"/>
      <c r="R24" s="44"/>
    </row>
    <row r="25" spans="1:18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N25" s="44"/>
      <c r="O25" s="44"/>
      <c r="P25" s="44"/>
      <c r="Q25" s="44"/>
      <c r="R25" s="44"/>
    </row>
    <row r="26" spans="1:18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N26" s="44"/>
      <c r="O26" s="44"/>
      <c r="P26" s="44"/>
      <c r="Q26" s="44"/>
      <c r="R26" s="44"/>
    </row>
    <row r="27" spans="1:18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N27" s="44"/>
      <c r="O27" s="44"/>
      <c r="P27" s="44"/>
      <c r="Q27" s="44"/>
      <c r="R27" s="44"/>
    </row>
    <row r="28" spans="1:1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N28" s="44"/>
      <c r="O28" s="44"/>
      <c r="P28" s="44"/>
      <c r="Q28" s="44"/>
      <c r="R28" s="44"/>
    </row>
    <row r="29" spans="1:18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N29" s="44"/>
      <c r="O29" s="44"/>
      <c r="P29" s="44"/>
      <c r="Q29" s="44"/>
      <c r="R29" s="44"/>
    </row>
    <row r="30" spans="1:18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N30" s="44"/>
      <c r="O30" s="44"/>
      <c r="P30" s="44"/>
      <c r="Q30" s="44"/>
      <c r="R30" s="44"/>
    </row>
    <row r="31" spans="1:18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</row>
    <row r="32" spans="1:18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N32" s="44"/>
      <c r="P32" s="44"/>
      <c r="Q32" s="44"/>
    </row>
    <row r="33" spans="1:1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  <row r="34" spans="1:1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57" spans="1:7" ht="20.25">
      <c r="A57" s="104" t="s">
        <v>883</v>
      </c>
      <c r="B57" s="104"/>
      <c r="C57" s="104"/>
      <c r="D57" s="104"/>
      <c r="E57" s="104"/>
      <c r="F57" s="104"/>
      <c r="G57" s="104"/>
    </row>
  </sheetData>
  <sheetProtection password="DD67" sheet="1"/>
  <mergeCells count="14">
    <mergeCell ref="A57:G57"/>
    <mergeCell ref="A3:A8"/>
    <mergeCell ref="B3:G3"/>
    <mergeCell ref="A1:G1"/>
    <mergeCell ref="A2:G2"/>
    <mergeCell ref="A15:G15"/>
    <mergeCell ref="A16:G16"/>
    <mergeCell ref="B4:C6"/>
    <mergeCell ref="D4:E6"/>
    <mergeCell ref="F4:G6"/>
    <mergeCell ref="B7:B8"/>
    <mergeCell ref="D7:D8"/>
    <mergeCell ref="B13:G13"/>
    <mergeCell ref="F7:F8"/>
  </mergeCells>
  <phoneticPr fontId="11" type="noConversion"/>
  <hyperlinks>
    <hyperlink ref="A57:G57" r:id="rId1" display="其他包裹業務說明(業務說明、郵遞時效、投遞區域)" xr:uid="{73700CB2-510D-42D6-BF21-59CA032B37F1}"/>
    <hyperlink ref="A1:G1" r:id="rId2" display="國內包裹資費表" xr:uid="{543CF619-EBCC-4EAA-87AC-AFDBFE5E97B3}"/>
    <hyperlink ref="A15:G15" r:id="rId3" display="郵局便利箱(袋)" xr:uid="{4A055529-7BD2-418A-ACD2-A33DC90677D1}"/>
  </hyperlink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5156-8870-42A8-B53E-E45E6186B055}">
  <dimension ref="A1:B2"/>
  <sheetViews>
    <sheetView workbookViewId="0">
      <selection activeCell="A3" sqref="A3"/>
    </sheetView>
  </sheetViews>
  <sheetFormatPr defaultRowHeight="16.5"/>
  <cols>
    <col min="1" max="1" width="9.5" bestFit="1" customWidth="1"/>
  </cols>
  <sheetData>
    <row r="1" spans="1:2">
      <c r="A1" t="s">
        <v>914</v>
      </c>
      <c r="B1" t="s">
        <v>920</v>
      </c>
    </row>
    <row r="2" spans="1:2">
      <c r="A2">
        <v>20260401</v>
      </c>
      <c r="B2">
        <v>202</v>
      </c>
    </row>
  </sheetData>
  <sheetProtection algorithmName="SHA-512" hashValue="EyiFQrl8PeavOTp6rupGQME4ukuof2Ukire9SsNYx625lK4qQNK+3nuPKd2LA1zAjbedGBzK0yzYKVWhrZUx7w==" saltValue="n/8gpP4phic/DxRLAI6oMA==" spinCount="100000" sheet="1" objects="1" scenarios="1"/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BF52-EBEF-43A1-9842-67F139E69882}">
  <dimension ref="A1:AO375"/>
  <sheetViews>
    <sheetView topLeftCell="H1" zoomScale="85" zoomScaleNormal="85" workbookViewId="0">
      <selection activeCell="V4" sqref="V4"/>
    </sheetView>
  </sheetViews>
  <sheetFormatPr defaultRowHeight="16.5"/>
  <cols>
    <col min="2" max="2" width="9" style="6" customWidth="1"/>
    <col min="4" max="4" width="11.375" customWidth="1"/>
    <col min="8" max="8" width="19.5" customWidth="1"/>
    <col min="10" max="10" width="14.5" customWidth="1"/>
    <col min="12" max="12" width="46" customWidth="1"/>
    <col min="15" max="15" width="16.625" customWidth="1"/>
  </cols>
  <sheetData>
    <row r="1" spans="1:41">
      <c r="A1" t="s">
        <v>0</v>
      </c>
      <c r="C1" t="s">
        <v>2</v>
      </c>
      <c r="D1" t="s">
        <v>8</v>
      </c>
      <c r="F1" t="s">
        <v>416</v>
      </c>
      <c r="H1" t="s">
        <v>804</v>
      </c>
      <c r="J1" t="s">
        <v>817</v>
      </c>
      <c r="L1" t="s">
        <v>818</v>
      </c>
      <c r="N1" t="s">
        <v>407</v>
      </c>
      <c r="O1" t="s">
        <v>794</v>
      </c>
      <c r="R1" t="s">
        <v>27</v>
      </c>
      <c r="S1" t="s">
        <v>26</v>
      </c>
      <c r="T1" t="s">
        <v>28</v>
      </c>
      <c r="U1" t="s">
        <v>25</v>
      </c>
      <c r="V1" t="s">
        <v>30</v>
      </c>
      <c r="W1" t="s">
        <v>31</v>
      </c>
      <c r="X1" t="s">
        <v>29</v>
      </c>
      <c r="Y1" t="s">
        <v>32</v>
      </c>
      <c r="Z1" t="s">
        <v>33</v>
      </c>
      <c r="AA1" t="s">
        <v>35</v>
      </c>
      <c r="AB1" t="s">
        <v>34</v>
      </c>
      <c r="AC1" t="s">
        <v>37</v>
      </c>
      <c r="AD1" t="s">
        <v>38</v>
      </c>
      <c r="AE1" t="s">
        <v>36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 spans="1:41">
      <c r="A2" t="s">
        <v>802</v>
      </c>
      <c r="B2" s="7">
        <v>1</v>
      </c>
      <c r="C2" t="s">
        <v>3</v>
      </c>
      <c r="D2" t="s">
        <v>9</v>
      </c>
      <c r="E2">
        <v>1</v>
      </c>
      <c r="F2" t="s">
        <v>413</v>
      </c>
      <c r="G2" s="7" t="s">
        <v>412</v>
      </c>
      <c r="H2" s="7" t="s">
        <v>805</v>
      </c>
      <c r="I2" s="7" t="s">
        <v>865</v>
      </c>
      <c r="J2" s="7" t="s">
        <v>809</v>
      </c>
      <c r="K2" s="7" t="s">
        <v>812</v>
      </c>
      <c r="L2" s="7" t="s">
        <v>876</v>
      </c>
      <c r="M2" s="7" t="s">
        <v>850</v>
      </c>
      <c r="N2" t="s">
        <v>25</v>
      </c>
      <c r="O2" t="s">
        <v>420</v>
      </c>
      <c r="P2">
        <v>100</v>
      </c>
      <c r="R2" t="s">
        <v>49</v>
      </c>
      <c r="S2" t="s">
        <v>61</v>
      </c>
      <c r="T2" t="s">
        <v>71</v>
      </c>
      <c r="U2" t="s">
        <v>98</v>
      </c>
      <c r="V2" t="s">
        <v>110</v>
      </c>
      <c r="W2" t="s">
        <v>913</v>
      </c>
      <c r="X2" t="s">
        <v>125</v>
      </c>
      <c r="Y2" t="s">
        <v>138</v>
      </c>
      <c r="Z2" t="s">
        <v>156</v>
      </c>
      <c r="AA2" t="s">
        <v>182</v>
      </c>
      <c r="AB2" t="s">
        <v>208</v>
      </c>
      <c r="AC2" t="s">
        <v>110</v>
      </c>
      <c r="AD2" t="s">
        <v>221</v>
      </c>
      <c r="AE2" t="s">
        <v>239</v>
      </c>
      <c r="AF2" t="s">
        <v>259</v>
      </c>
      <c r="AG2" t="s">
        <v>293</v>
      </c>
      <c r="AH2" t="s">
        <v>345</v>
      </c>
      <c r="AI2" t="s">
        <v>378</v>
      </c>
      <c r="AJ2" t="s">
        <v>394</v>
      </c>
      <c r="AK2" t="s">
        <v>333</v>
      </c>
      <c r="AL2" t="s">
        <v>339</v>
      </c>
      <c r="AM2" t="s">
        <v>67</v>
      </c>
      <c r="AN2" t="s">
        <v>47</v>
      </c>
      <c r="AO2" t="s">
        <v>306</v>
      </c>
    </row>
    <row r="3" spans="1:41">
      <c r="A3" t="s">
        <v>16</v>
      </c>
      <c r="B3" s="7">
        <v>2</v>
      </c>
      <c r="C3" t="s">
        <v>4</v>
      </c>
      <c r="D3" t="s">
        <v>10</v>
      </c>
      <c r="E3">
        <v>2</v>
      </c>
      <c r="F3" t="s">
        <v>414</v>
      </c>
      <c r="G3" s="7" t="s">
        <v>23</v>
      </c>
      <c r="H3" s="7" t="s">
        <v>806</v>
      </c>
      <c r="I3" s="7" t="s">
        <v>866</v>
      </c>
      <c r="J3" s="7" t="s">
        <v>869</v>
      </c>
      <c r="K3" s="7" t="s">
        <v>813</v>
      </c>
      <c r="L3" s="7" t="s">
        <v>836</v>
      </c>
      <c r="M3" s="7" t="s">
        <v>851</v>
      </c>
      <c r="N3" t="s">
        <v>26</v>
      </c>
      <c r="O3" t="s">
        <v>421</v>
      </c>
      <c r="P3">
        <v>103</v>
      </c>
      <c r="R3" t="s">
        <v>50</v>
      </c>
      <c r="S3" t="s">
        <v>55</v>
      </c>
      <c r="T3" t="s">
        <v>72</v>
      </c>
      <c r="U3" t="s">
        <v>99</v>
      </c>
      <c r="V3" t="s">
        <v>111</v>
      </c>
      <c r="W3" t="s">
        <v>112</v>
      </c>
      <c r="X3" t="s">
        <v>126</v>
      </c>
      <c r="Y3" t="s">
        <v>139</v>
      </c>
      <c r="Z3" t="s">
        <v>110</v>
      </c>
      <c r="AA3" t="s">
        <v>183</v>
      </c>
      <c r="AB3" t="s">
        <v>209</v>
      </c>
      <c r="AC3" t="s">
        <v>158</v>
      </c>
      <c r="AD3" t="s">
        <v>222</v>
      </c>
      <c r="AE3" t="s">
        <v>240</v>
      </c>
      <c r="AF3" t="s">
        <v>110</v>
      </c>
      <c r="AG3" t="s">
        <v>294</v>
      </c>
      <c r="AH3" t="s">
        <v>346</v>
      </c>
      <c r="AI3" t="s">
        <v>379</v>
      </c>
      <c r="AJ3" t="s">
        <v>395</v>
      </c>
      <c r="AK3" t="s">
        <v>334</v>
      </c>
      <c r="AL3" t="s">
        <v>340</v>
      </c>
      <c r="AM3" t="s">
        <v>68</v>
      </c>
      <c r="AO3" t="s">
        <v>307</v>
      </c>
    </row>
    <row r="4" spans="1:41">
      <c r="A4" t="s">
        <v>17</v>
      </c>
      <c r="B4" s="7">
        <v>3</v>
      </c>
      <c r="D4" t="s">
        <v>11</v>
      </c>
      <c r="E4">
        <v>3</v>
      </c>
      <c r="F4" t="s">
        <v>415</v>
      </c>
      <c r="G4" s="7" t="s">
        <v>24</v>
      </c>
      <c r="H4" s="7" t="s">
        <v>807</v>
      </c>
      <c r="I4" s="7" t="s">
        <v>867</v>
      </c>
      <c r="J4" s="7" t="s">
        <v>810</v>
      </c>
      <c r="K4" s="7" t="s">
        <v>814</v>
      </c>
      <c r="L4" s="12" t="s">
        <v>837</v>
      </c>
      <c r="M4" s="7" t="s">
        <v>852</v>
      </c>
      <c r="N4" t="s">
        <v>27</v>
      </c>
      <c r="O4" t="s">
        <v>422</v>
      </c>
      <c r="P4">
        <v>104</v>
      </c>
      <c r="R4" t="s">
        <v>51</v>
      </c>
      <c r="S4" t="s">
        <v>49</v>
      </c>
      <c r="T4" t="s">
        <v>73</v>
      </c>
      <c r="U4" t="s">
        <v>100</v>
      </c>
      <c r="V4" t="s">
        <v>913</v>
      </c>
      <c r="W4" t="s">
        <v>113</v>
      </c>
      <c r="X4" t="s">
        <v>127</v>
      </c>
      <c r="Y4" t="s">
        <v>140</v>
      </c>
      <c r="Z4" t="s">
        <v>157</v>
      </c>
      <c r="AA4" t="s">
        <v>184</v>
      </c>
      <c r="AB4" t="s">
        <v>210</v>
      </c>
      <c r="AD4" t="s">
        <v>223</v>
      </c>
      <c r="AE4" t="s">
        <v>241</v>
      </c>
      <c r="AF4" t="s">
        <v>157</v>
      </c>
      <c r="AG4" t="s">
        <v>295</v>
      </c>
      <c r="AH4" t="s">
        <v>347</v>
      </c>
      <c r="AI4" t="s">
        <v>380</v>
      </c>
      <c r="AJ4" t="s">
        <v>396</v>
      </c>
      <c r="AK4" t="s">
        <v>335</v>
      </c>
      <c r="AL4" t="s">
        <v>341</v>
      </c>
      <c r="AM4" t="s">
        <v>69</v>
      </c>
    </row>
    <row r="5" spans="1:41">
      <c r="A5" t="s">
        <v>18</v>
      </c>
      <c r="B5" s="7">
        <v>4</v>
      </c>
      <c r="D5" t="s">
        <v>12</v>
      </c>
      <c r="E5">
        <v>4</v>
      </c>
      <c r="H5" s="7" t="s">
        <v>808</v>
      </c>
      <c r="I5" s="7" t="s">
        <v>868</v>
      </c>
      <c r="J5" s="7" t="s">
        <v>870</v>
      </c>
      <c r="K5" s="7" t="s">
        <v>815</v>
      </c>
      <c r="L5" s="12" t="s">
        <v>838</v>
      </c>
      <c r="M5" s="7" t="s">
        <v>853</v>
      </c>
      <c r="N5" t="s">
        <v>28</v>
      </c>
      <c r="O5" t="s">
        <v>423</v>
      </c>
      <c r="P5">
        <v>105</v>
      </c>
      <c r="R5" t="s">
        <v>52</v>
      </c>
      <c r="S5" t="s">
        <v>51</v>
      </c>
      <c r="T5" t="s">
        <v>74</v>
      </c>
      <c r="U5" t="s">
        <v>101</v>
      </c>
      <c r="W5" t="s">
        <v>114</v>
      </c>
      <c r="X5" t="s">
        <v>128</v>
      </c>
      <c r="Y5" t="s">
        <v>141</v>
      </c>
      <c r="Z5" t="s">
        <v>158</v>
      </c>
      <c r="AA5" t="s">
        <v>185</v>
      </c>
      <c r="AB5" t="s">
        <v>211</v>
      </c>
      <c r="AD5" t="s">
        <v>224</v>
      </c>
      <c r="AE5" t="s">
        <v>242</v>
      </c>
      <c r="AF5" t="s">
        <v>111</v>
      </c>
      <c r="AG5" t="s">
        <v>296</v>
      </c>
      <c r="AH5" t="s">
        <v>348</v>
      </c>
      <c r="AI5" t="s">
        <v>381</v>
      </c>
      <c r="AJ5" t="s">
        <v>397</v>
      </c>
      <c r="AK5" t="s">
        <v>336</v>
      </c>
      <c r="AL5" t="s">
        <v>342</v>
      </c>
      <c r="AM5" t="s">
        <v>70</v>
      </c>
    </row>
    <row r="6" spans="1:41">
      <c r="A6" t="s">
        <v>15</v>
      </c>
      <c r="B6" s="7">
        <v>5</v>
      </c>
      <c r="D6" t="s">
        <v>13</v>
      </c>
      <c r="E6">
        <v>5</v>
      </c>
      <c r="H6" s="7"/>
      <c r="I6" s="7"/>
      <c r="J6" s="7" t="s">
        <v>811</v>
      </c>
      <c r="K6" s="7" t="s">
        <v>816</v>
      </c>
      <c r="L6" s="12" t="s">
        <v>839</v>
      </c>
      <c r="M6" s="7" t="s">
        <v>854</v>
      </c>
      <c r="N6" t="s">
        <v>29</v>
      </c>
      <c r="O6" t="s">
        <v>424</v>
      </c>
      <c r="P6">
        <v>106</v>
      </c>
      <c r="R6" t="s">
        <v>53</v>
      </c>
      <c r="S6" t="s">
        <v>62</v>
      </c>
      <c r="T6" t="s">
        <v>75</v>
      </c>
      <c r="U6" t="s">
        <v>102</v>
      </c>
      <c r="W6" t="s">
        <v>115</v>
      </c>
      <c r="X6" t="s">
        <v>129</v>
      </c>
      <c r="Y6" t="s">
        <v>142</v>
      </c>
      <c r="Z6" t="s">
        <v>111</v>
      </c>
      <c r="AA6" t="s">
        <v>186</v>
      </c>
      <c r="AB6" t="s">
        <v>212</v>
      </c>
      <c r="AD6" t="s">
        <v>225</v>
      </c>
      <c r="AE6" t="s">
        <v>243</v>
      </c>
      <c r="AF6" t="s">
        <v>260</v>
      </c>
      <c r="AG6" t="s">
        <v>297</v>
      </c>
      <c r="AH6" t="s">
        <v>349</v>
      </c>
      <c r="AI6" t="s">
        <v>382</v>
      </c>
      <c r="AJ6" t="s">
        <v>398</v>
      </c>
      <c r="AK6" t="s">
        <v>337</v>
      </c>
      <c r="AL6" t="s">
        <v>343</v>
      </c>
    </row>
    <row r="7" spans="1:41">
      <c r="A7" t="s">
        <v>19</v>
      </c>
      <c r="B7" s="7">
        <v>6</v>
      </c>
      <c r="H7" s="7"/>
      <c r="I7" s="7"/>
      <c r="J7" s="7"/>
      <c r="K7" s="7"/>
      <c r="L7" s="12" t="s">
        <v>840</v>
      </c>
      <c r="M7" s="7" t="s">
        <v>855</v>
      </c>
      <c r="N7" t="s">
        <v>30</v>
      </c>
      <c r="O7" t="s">
        <v>425</v>
      </c>
      <c r="P7">
        <v>108</v>
      </c>
      <c r="R7" t="s">
        <v>54</v>
      </c>
      <c r="S7" t="s">
        <v>63</v>
      </c>
      <c r="T7" t="s">
        <v>76</v>
      </c>
      <c r="U7" t="s">
        <v>103</v>
      </c>
      <c r="W7" t="s">
        <v>116</v>
      </c>
      <c r="X7" t="s">
        <v>130</v>
      </c>
      <c r="Y7" t="s">
        <v>143</v>
      </c>
      <c r="Z7" t="s">
        <v>159</v>
      </c>
      <c r="AA7" t="s">
        <v>187</v>
      </c>
      <c r="AB7" t="s">
        <v>213</v>
      </c>
      <c r="AD7" t="s">
        <v>226</v>
      </c>
      <c r="AE7" t="s">
        <v>244</v>
      </c>
      <c r="AF7" t="s">
        <v>261</v>
      </c>
      <c r="AG7" t="s">
        <v>298</v>
      </c>
      <c r="AH7" t="s">
        <v>350</v>
      </c>
      <c r="AI7" t="s">
        <v>383</v>
      </c>
      <c r="AJ7" t="s">
        <v>399</v>
      </c>
      <c r="AK7" t="s">
        <v>338</v>
      </c>
      <c r="AL7" t="s">
        <v>344</v>
      </c>
    </row>
    <row r="8" spans="1:41">
      <c r="A8" t="s">
        <v>20</v>
      </c>
      <c r="B8" s="7">
        <v>7</v>
      </c>
      <c r="L8" s="12" t="s">
        <v>841</v>
      </c>
      <c r="M8" s="7" t="s">
        <v>856</v>
      </c>
      <c r="N8" t="s">
        <v>31</v>
      </c>
      <c r="O8" t="s">
        <v>426</v>
      </c>
      <c r="P8">
        <v>110</v>
      </c>
      <c r="R8" t="s">
        <v>55</v>
      </c>
      <c r="S8" t="s">
        <v>64</v>
      </c>
      <c r="T8" t="s">
        <v>77</v>
      </c>
      <c r="U8" t="s">
        <v>104</v>
      </c>
      <c r="W8" t="s">
        <v>117</v>
      </c>
      <c r="X8" t="s">
        <v>131</v>
      </c>
      <c r="Y8" t="s">
        <v>144</v>
      </c>
      <c r="Z8" t="s">
        <v>160</v>
      </c>
      <c r="AA8" t="s">
        <v>188</v>
      </c>
      <c r="AB8" t="s">
        <v>214</v>
      </c>
      <c r="AD8" t="s">
        <v>227</v>
      </c>
      <c r="AE8" t="s">
        <v>245</v>
      </c>
      <c r="AF8" t="s">
        <v>262</v>
      </c>
      <c r="AG8" t="s">
        <v>299</v>
      </c>
      <c r="AH8" t="s">
        <v>351</v>
      </c>
      <c r="AI8" t="s">
        <v>384</v>
      </c>
      <c r="AJ8" t="s">
        <v>400</v>
      </c>
    </row>
    <row r="9" spans="1:41">
      <c r="A9" t="s">
        <v>21</v>
      </c>
      <c r="B9" s="7">
        <v>8</v>
      </c>
      <c r="L9" s="12" t="s">
        <v>842</v>
      </c>
      <c r="M9" s="7" t="s">
        <v>857</v>
      </c>
      <c r="N9" t="s">
        <v>32</v>
      </c>
      <c r="O9" t="s">
        <v>427</v>
      </c>
      <c r="P9">
        <v>111</v>
      </c>
      <c r="R9" t="s">
        <v>56</v>
      </c>
      <c r="T9" t="s">
        <v>78</v>
      </c>
      <c r="U9" t="s">
        <v>105</v>
      </c>
      <c r="W9" t="s">
        <v>118</v>
      </c>
      <c r="X9" t="s">
        <v>132</v>
      </c>
      <c r="Y9" t="s">
        <v>145</v>
      </c>
      <c r="Z9" t="s">
        <v>161</v>
      </c>
      <c r="AA9" t="s">
        <v>189</v>
      </c>
      <c r="AB9" t="s">
        <v>215</v>
      </c>
      <c r="AD9" t="s">
        <v>228</v>
      </c>
      <c r="AE9" t="s">
        <v>246</v>
      </c>
      <c r="AF9" t="s">
        <v>263</v>
      </c>
      <c r="AG9" t="s">
        <v>300</v>
      </c>
      <c r="AH9" t="s">
        <v>352</v>
      </c>
      <c r="AI9" t="s">
        <v>385</v>
      </c>
      <c r="AJ9" t="s">
        <v>401</v>
      </c>
    </row>
    <row r="10" spans="1:41">
      <c r="A10" t="s">
        <v>22</v>
      </c>
      <c r="B10" s="8" t="s">
        <v>798</v>
      </c>
      <c r="L10" s="12" t="s">
        <v>843</v>
      </c>
      <c r="M10" s="7" t="s">
        <v>858</v>
      </c>
      <c r="N10" t="s">
        <v>33</v>
      </c>
      <c r="O10" t="s">
        <v>428</v>
      </c>
      <c r="P10">
        <v>112</v>
      </c>
      <c r="R10" t="s">
        <v>57</v>
      </c>
      <c r="T10" t="s">
        <v>79</v>
      </c>
      <c r="U10" t="s">
        <v>106</v>
      </c>
      <c r="W10" t="s">
        <v>119</v>
      </c>
      <c r="X10" t="s">
        <v>133</v>
      </c>
      <c r="Y10" t="s">
        <v>146</v>
      </c>
      <c r="Z10" t="s">
        <v>162</v>
      </c>
      <c r="AA10" t="s">
        <v>190</v>
      </c>
      <c r="AB10" t="s">
        <v>216</v>
      </c>
      <c r="AD10" t="s">
        <v>229</v>
      </c>
      <c r="AE10" t="s">
        <v>247</v>
      </c>
      <c r="AF10" t="s">
        <v>264</v>
      </c>
      <c r="AG10" t="s">
        <v>301</v>
      </c>
      <c r="AH10" t="s">
        <v>353</v>
      </c>
      <c r="AI10" t="s">
        <v>386</v>
      </c>
      <c r="AJ10" t="s">
        <v>402</v>
      </c>
    </row>
    <row r="11" spans="1:41">
      <c r="A11" t="s">
        <v>800</v>
      </c>
      <c r="B11" s="6" t="s">
        <v>799</v>
      </c>
      <c r="L11" s="12" t="s">
        <v>844</v>
      </c>
      <c r="M11" s="7" t="s">
        <v>859</v>
      </c>
      <c r="N11" t="s">
        <v>34</v>
      </c>
      <c r="O11" t="s">
        <v>429</v>
      </c>
      <c r="P11">
        <v>114</v>
      </c>
      <c r="R11" t="s">
        <v>58</v>
      </c>
      <c r="T11" t="s">
        <v>80</v>
      </c>
      <c r="U11" t="s">
        <v>107</v>
      </c>
      <c r="W11" t="s">
        <v>120</v>
      </c>
      <c r="X11" t="s">
        <v>134</v>
      </c>
      <c r="Y11" t="s">
        <v>147</v>
      </c>
      <c r="Z11" t="s">
        <v>163</v>
      </c>
      <c r="AA11" t="s">
        <v>191</v>
      </c>
      <c r="AB11" t="s">
        <v>217</v>
      </c>
      <c r="AD11" t="s">
        <v>230</v>
      </c>
      <c r="AE11" t="s">
        <v>248</v>
      </c>
      <c r="AF11" t="s">
        <v>265</v>
      </c>
      <c r="AG11" t="s">
        <v>302</v>
      </c>
      <c r="AH11" t="s">
        <v>354</v>
      </c>
      <c r="AI11" t="s">
        <v>387</v>
      </c>
      <c r="AJ11" t="s">
        <v>403</v>
      </c>
    </row>
    <row r="12" spans="1:41">
      <c r="L12" s="12" t="s">
        <v>845</v>
      </c>
      <c r="M12" s="7" t="s">
        <v>860</v>
      </c>
      <c r="N12" t="s">
        <v>35</v>
      </c>
      <c r="O12" t="s">
        <v>430</v>
      </c>
      <c r="P12">
        <v>115</v>
      </c>
      <c r="R12" t="s">
        <v>59</v>
      </c>
      <c r="T12" t="s">
        <v>81</v>
      </c>
      <c r="U12" t="s">
        <v>108</v>
      </c>
      <c r="W12" t="s">
        <v>121</v>
      </c>
      <c r="X12" t="s">
        <v>135</v>
      </c>
      <c r="Y12" t="s">
        <v>148</v>
      </c>
      <c r="Z12" t="s">
        <v>164</v>
      </c>
      <c r="AA12" t="s">
        <v>192</v>
      </c>
      <c r="AB12" t="s">
        <v>218</v>
      </c>
      <c r="AD12" t="s">
        <v>231</v>
      </c>
      <c r="AE12" t="s">
        <v>249</v>
      </c>
      <c r="AF12" t="s">
        <v>266</v>
      </c>
      <c r="AG12" t="s">
        <v>303</v>
      </c>
      <c r="AH12" t="s">
        <v>355</v>
      </c>
      <c r="AI12" t="s">
        <v>388</v>
      </c>
      <c r="AJ12" t="s">
        <v>404</v>
      </c>
    </row>
    <row r="13" spans="1:41">
      <c r="L13" s="12" t="s">
        <v>846</v>
      </c>
      <c r="M13" s="7" t="s">
        <v>861</v>
      </c>
      <c r="N13" t="s">
        <v>36</v>
      </c>
      <c r="O13" t="s">
        <v>431</v>
      </c>
      <c r="P13">
        <v>116</v>
      </c>
      <c r="R13" t="s">
        <v>60</v>
      </c>
      <c r="T13" t="s">
        <v>82</v>
      </c>
      <c r="U13" t="s">
        <v>109</v>
      </c>
      <c r="W13" t="s">
        <v>122</v>
      </c>
      <c r="X13" t="s">
        <v>136</v>
      </c>
      <c r="Y13" t="s">
        <v>149</v>
      </c>
      <c r="Z13" t="s">
        <v>165</v>
      </c>
      <c r="AA13" t="s">
        <v>193</v>
      </c>
      <c r="AB13" t="s">
        <v>219</v>
      </c>
      <c r="AD13" t="s">
        <v>232</v>
      </c>
      <c r="AE13" t="s">
        <v>250</v>
      </c>
      <c r="AF13" t="s">
        <v>267</v>
      </c>
      <c r="AG13" t="s">
        <v>304</v>
      </c>
      <c r="AH13" t="s">
        <v>356</v>
      </c>
      <c r="AI13" t="s">
        <v>389</v>
      </c>
      <c r="AJ13" t="s">
        <v>405</v>
      </c>
    </row>
    <row r="14" spans="1:41">
      <c r="L14" s="12" t="s">
        <v>847</v>
      </c>
      <c r="M14" s="7" t="s">
        <v>862</v>
      </c>
      <c r="N14" t="s">
        <v>37</v>
      </c>
      <c r="O14" t="s">
        <v>432</v>
      </c>
      <c r="P14">
        <v>200</v>
      </c>
      <c r="T14" t="s">
        <v>83</v>
      </c>
      <c r="U14" t="s">
        <v>47</v>
      </c>
      <c r="W14" t="s">
        <v>123</v>
      </c>
      <c r="X14" t="s">
        <v>137</v>
      </c>
      <c r="Y14" t="s">
        <v>150</v>
      </c>
      <c r="Z14" t="s">
        <v>166</v>
      </c>
      <c r="AA14" t="s">
        <v>194</v>
      </c>
      <c r="AB14" t="s">
        <v>220</v>
      </c>
      <c r="AD14" t="s">
        <v>233</v>
      </c>
      <c r="AE14" t="s">
        <v>251</v>
      </c>
      <c r="AF14" t="s">
        <v>268</v>
      </c>
      <c r="AG14" t="s">
        <v>305</v>
      </c>
      <c r="AH14" t="s">
        <v>357</v>
      </c>
      <c r="AI14" t="s">
        <v>390</v>
      </c>
      <c r="AJ14" t="s">
        <v>406</v>
      </c>
    </row>
    <row r="15" spans="1:41">
      <c r="L15" s="12" t="s">
        <v>848</v>
      </c>
      <c r="M15" s="7" t="s">
        <v>863</v>
      </c>
      <c r="N15" t="s">
        <v>38</v>
      </c>
      <c r="O15" t="s">
        <v>433</v>
      </c>
      <c r="P15">
        <v>201</v>
      </c>
      <c r="T15" t="s">
        <v>84</v>
      </c>
      <c r="W15" t="s">
        <v>124</v>
      </c>
      <c r="Y15" t="s">
        <v>151</v>
      </c>
      <c r="Z15" t="s">
        <v>167</v>
      </c>
      <c r="AA15" t="s">
        <v>195</v>
      </c>
      <c r="AD15" t="s">
        <v>234</v>
      </c>
      <c r="AE15" t="s">
        <v>252</v>
      </c>
      <c r="AF15" t="s">
        <v>269</v>
      </c>
      <c r="AG15" t="s">
        <v>308</v>
      </c>
      <c r="AH15" t="s">
        <v>358</v>
      </c>
      <c r="AI15" t="s">
        <v>391</v>
      </c>
    </row>
    <row r="16" spans="1:41">
      <c r="L16" s="12" t="s">
        <v>849</v>
      </c>
      <c r="M16" s="7" t="s">
        <v>864</v>
      </c>
      <c r="N16" t="s">
        <v>39</v>
      </c>
      <c r="O16" t="s">
        <v>434</v>
      </c>
      <c r="P16">
        <v>202</v>
      </c>
      <c r="T16" t="s">
        <v>85</v>
      </c>
      <c r="Y16" t="s">
        <v>152</v>
      </c>
      <c r="Z16" t="s">
        <v>168</v>
      </c>
      <c r="AA16" t="s">
        <v>196</v>
      </c>
      <c r="AD16" t="s">
        <v>235</v>
      </c>
      <c r="AE16" t="s">
        <v>253</v>
      </c>
      <c r="AF16" t="s">
        <v>270</v>
      </c>
      <c r="AG16" t="s">
        <v>309</v>
      </c>
      <c r="AH16" t="s">
        <v>359</v>
      </c>
      <c r="AI16" t="s">
        <v>392</v>
      </c>
    </row>
    <row r="17" spans="12:35">
      <c r="N17" t="s">
        <v>40</v>
      </c>
      <c r="O17" t="s">
        <v>435</v>
      </c>
      <c r="P17">
        <v>203</v>
      </c>
      <c r="T17" t="s">
        <v>86</v>
      </c>
      <c r="Y17" t="s">
        <v>153</v>
      </c>
      <c r="Z17" t="s">
        <v>169</v>
      </c>
      <c r="AA17" t="s">
        <v>197</v>
      </c>
      <c r="AD17" t="s">
        <v>236</v>
      </c>
      <c r="AE17" t="s">
        <v>254</v>
      </c>
      <c r="AF17" t="s">
        <v>271</v>
      </c>
      <c r="AG17" t="s">
        <v>310</v>
      </c>
      <c r="AH17" t="s">
        <v>360</v>
      </c>
      <c r="AI17" t="s">
        <v>393</v>
      </c>
    </row>
    <row r="18" spans="12:35">
      <c r="N18" t="s">
        <v>41</v>
      </c>
      <c r="O18" t="s">
        <v>436</v>
      </c>
      <c r="P18">
        <v>204</v>
      </c>
      <c r="T18" t="s">
        <v>87</v>
      </c>
      <c r="Y18" t="s">
        <v>154</v>
      </c>
      <c r="Z18" t="s">
        <v>170</v>
      </c>
      <c r="AA18" t="s">
        <v>198</v>
      </c>
      <c r="AD18" t="s">
        <v>237</v>
      </c>
      <c r="AE18" t="s">
        <v>255</v>
      </c>
      <c r="AF18" t="s">
        <v>272</v>
      </c>
      <c r="AG18" t="s">
        <v>311</v>
      </c>
      <c r="AH18" t="s">
        <v>361</v>
      </c>
    </row>
    <row r="19" spans="12:35">
      <c r="N19" t="s">
        <v>42</v>
      </c>
      <c r="O19" t="s">
        <v>437</v>
      </c>
      <c r="P19">
        <v>205</v>
      </c>
      <c r="T19" t="s">
        <v>88</v>
      </c>
      <c r="Y19" t="s">
        <v>155</v>
      </c>
      <c r="Z19" t="s">
        <v>171</v>
      </c>
      <c r="AA19" t="s">
        <v>199</v>
      </c>
      <c r="AD19" t="s">
        <v>238</v>
      </c>
      <c r="AE19" t="s">
        <v>256</v>
      </c>
      <c r="AF19" t="s">
        <v>273</v>
      </c>
      <c r="AG19" t="s">
        <v>312</v>
      </c>
      <c r="AH19" t="s">
        <v>362</v>
      </c>
    </row>
    <row r="20" spans="12:35">
      <c r="N20" t="s">
        <v>43</v>
      </c>
      <c r="O20" t="s">
        <v>438</v>
      </c>
      <c r="P20">
        <v>206</v>
      </c>
      <c r="T20" t="s">
        <v>89</v>
      </c>
      <c r="Z20" t="s">
        <v>172</v>
      </c>
      <c r="AA20" t="s">
        <v>200</v>
      </c>
      <c r="AE20" t="s">
        <v>257</v>
      </c>
      <c r="AF20" t="s">
        <v>274</v>
      </c>
      <c r="AG20" t="s">
        <v>313</v>
      </c>
      <c r="AH20" t="s">
        <v>363</v>
      </c>
    </row>
    <row r="21" spans="12:35">
      <c r="L21" s="7"/>
      <c r="M21" s="7"/>
      <c r="N21" t="s">
        <v>44</v>
      </c>
      <c r="O21" t="s">
        <v>439</v>
      </c>
      <c r="P21">
        <v>207</v>
      </c>
      <c r="T21" t="s">
        <v>90</v>
      </c>
      <c r="Z21" t="s">
        <v>173</v>
      </c>
      <c r="AA21" t="s">
        <v>201</v>
      </c>
      <c r="AE21" t="s">
        <v>258</v>
      </c>
      <c r="AF21" t="s">
        <v>275</v>
      </c>
      <c r="AG21" t="s">
        <v>314</v>
      </c>
      <c r="AH21" t="s">
        <v>364</v>
      </c>
    </row>
    <row r="22" spans="12:35">
      <c r="L22" s="7"/>
      <c r="M22" s="7"/>
      <c r="N22" t="s">
        <v>45</v>
      </c>
      <c r="O22" t="s">
        <v>440</v>
      </c>
      <c r="P22">
        <v>208</v>
      </c>
      <c r="T22" t="s">
        <v>91</v>
      </c>
      <c r="Z22" t="s">
        <v>174</v>
      </c>
      <c r="AA22" t="s">
        <v>202</v>
      </c>
      <c r="AF22" t="s">
        <v>276</v>
      </c>
      <c r="AG22" t="s">
        <v>315</v>
      </c>
      <c r="AH22" t="s">
        <v>365</v>
      </c>
    </row>
    <row r="23" spans="12:35">
      <c r="L23" s="7"/>
      <c r="M23" s="7"/>
      <c r="N23" t="s">
        <v>46</v>
      </c>
      <c r="O23" t="s">
        <v>441</v>
      </c>
      <c r="P23">
        <v>209</v>
      </c>
      <c r="T23" t="s">
        <v>92</v>
      </c>
      <c r="Z23" t="s">
        <v>175</v>
      </c>
      <c r="AA23" t="s">
        <v>203</v>
      </c>
      <c r="AF23" t="s">
        <v>277</v>
      </c>
      <c r="AG23" t="s">
        <v>316</v>
      </c>
      <c r="AH23" t="s">
        <v>366</v>
      </c>
    </row>
    <row r="24" spans="12:35">
      <c r="L24" s="7"/>
      <c r="M24" s="7"/>
      <c r="N24" t="s">
        <v>47</v>
      </c>
      <c r="O24" t="s">
        <v>442</v>
      </c>
      <c r="P24">
        <v>210</v>
      </c>
      <c r="T24" t="s">
        <v>93</v>
      </c>
      <c r="Z24" t="s">
        <v>176</v>
      </c>
      <c r="AA24" t="s">
        <v>204</v>
      </c>
      <c r="AF24" t="s">
        <v>278</v>
      </c>
      <c r="AG24" t="s">
        <v>317</v>
      </c>
      <c r="AH24" t="s">
        <v>367</v>
      </c>
    </row>
    <row r="25" spans="12:35">
      <c r="L25" s="7"/>
      <c r="M25" s="7"/>
      <c r="N25" t="s">
        <v>48</v>
      </c>
      <c r="O25" t="s">
        <v>443</v>
      </c>
      <c r="P25">
        <v>211</v>
      </c>
      <c r="T25" t="s">
        <v>94</v>
      </c>
      <c r="Z25" t="s">
        <v>177</v>
      </c>
      <c r="AA25" t="s">
        <v>205</v>
      </c>
      <c r="AF25" t="s">
        <v>279</v>
      </c>
      <c r="AG25" t="s">
        <v>318</v>
      </c>
      <c r="AH25" t="s">
        <v>368</v>
      </c>
    </row>
    <row r="26" spans="12:35">
      <c r="O26" t="s">
        <v>444</v>
      </c>
      <c r="P26">
        <v>212</v>
      </c>
      <c r="T26" t="s">
        <v>95</v>
      </c>
      <c r="Z26" t="s">
        <v>178</v>
      </c>
      <c r="AA26" t="s">
        <v>206</v>
      </c>
      <c r="AF26" t="s">
        <v>280</v>
      </c>
      <c r="AG26" t="s">
        <v>319</v>
      </c>
      <c r="AH26" t="s">
        <v>369</v>
      </c>
    </row>
    <row r="27" spans="12:35">
      <c r="O27" t="s">
        <v>445</v>
      </c>
      <c r="P27">
        <v>220</v>
      </c>
      <c r="T27" t="s">
        <v>96</v>
      </c>
      <c r="Z27" t="s">
        <v>179</v>
      </c>
      <c r="AA27" t="s">
        <v>207</v>
      </c>
      <c r="AF27" t="s">
        <v>281</v>
      </c>
      <c r="AG27" t="s">
        <v>320</v>
      </c>
      <c r="AH27" t="s">
        <v>370</v>
      </c>
    </row>
    <row r="28" spans="12:35">
      <c r="O28" t="s">
        <v>446</v>
      </c>
      <c r="P28">
        <v>221</v>
      </c>
      <c r="T28" t="s">
        <v>97</v>
      </c>
      <c r="Z28" t="s">
        <v>180</v>
      </c>
      <c r="AF28" t="s">
        <v>282</v>
      </c>
      <c r="AG28" t="s">
        <v>321</v>
      </c>
      <c r="AH28" t="s">
        <v>371</v>
      </c>
    </row>
    <row r="29" spans="12:35">
      <c r="O29" t="s">
        <v>447</v>
      </c>
      <c r="P29">
        <v>222</v>
      </c>
      <c r="T29" t="s">
        <v>65</v>
      </c>
      <c r="Z29" t="s">
        <v>181</v>
      </c>
      <c r="AF29" t="s">
        <v>283</v>
      </c>
      <c r="AG29" t="s">
        <v>322</v>
      </c>
      <c r="AH29" t="s">
        <v>372</v>
      </c>
    </row>
    <row r="30" spans="12:35">
      <c r="O30" t="s">
        <v>448</v>
      </c>
      <c r="P30">
        <v>223</v>
      </c>
      <c r="T30" t="s">
        <v>66</v>
      </c>
      <c r="Z30" t="s">
        <v>53</v>
      </c>
      <c r="AF30" t="s">
        <v>284</v>
      </c>
      <c r="AG30" t="s">
        <v>323</v>
      </c>
      <c r="AH30" t="s">
        <v>373</v>
      </c>
    </row>
    <row r="31" spans="12:35">
      <c r="O31" t="s">
        <v>449</v>
      </c>
      <c r="P31">
        <v>224</v>
      </c>
      <c r="AF31" t="s">
        <v>285</v>
      </c>
      <c r="AG31" t="s">
        <v>324</v>
      </c>
      <c r="AH31" t="s">
        <v>374</v>
      </c>
    </row>
    <row r="32" spans="12:35">
      <c r="O32" t="s">
        <v>450</v>
      </c>
      <c r="P32">
        <v>226</v>
      </c>
      <c r="AF32" t="s">
        <v>286</v>
      </c>
      <c r="AG32" t="s">
        <v>325</v>
      </c>
      <c r="AH32" t="s">
        <v>375</v>
      </c>
    </row>
    <row r="33" spans="15:34">
      <c r="O33" t="s">
        <v>451</v>
      </c>
      <c r="P33">
        <v>227</v>
      </c>
      <c r="AF33" t="s">
        <v>287</v>
      </c>
      <c r="AG33" t="s">
        <v>326</v>
      </c>
      <c r="AH33" t="s">
        <v>376</v>
      </c>
    </row>
    <row r="34" spans="15:34">
      <c r="O34" t="s">
        <v>452</v>
      </c>
      <c r="P34">
        <v>228</v>
      </c>
      <c r="AF34" t="s">
        <v>288</v>
      </c>
      <c r="AG34" t="s">
        <v>327</v>
      </c>
      <c r="AH34" t="s">
        <v>377</v>
      </c>
    </row>
    <row r="35" spans="15:34">
      <c r="O35" t="s">
        <v>453</v>
      </c>
      <c r="P35">
        <v>231</v>
      </c>
      <c r="AF35" t="s">
        <v>289</v>
      </c>
      <c r="AG35" t="s">
        <v>328</v>
      </c>
    </row>
    <row r="36" spans="15:34">
      <c r="O36" t="s">
        <v>454</v>
      </c>
      <c r="P36">
        <v>232</v>
      </c>
      <c r="AF36" t="s">
        <v>290</v>
      </c>
      <c r="AG36" t="s">
        <v>329</v>
      </c>
    </row>
    <row r="37" spans="15:34">
      <c r="O37" t="s">
        <v>455</v>
      </c>
      <c r="P37">
        <v>233</v>
      </c>
      <c r="AF37" t="s">
        <v>291</v>
      </c>
      <c r="AG37" t="s">
        <v>330</v>
      </c>
    </row>
    <row r="38" spans="15:34">
      <c r="O38" t="s">
        <v>456</v>
      </c>
      <c r="P38">
        <v>234</v>
      </c>
      <c r="AF38" t="s">
        <v>292</v>
      </c>
      <c r="AG38" t="s">
        <v>331</v>
      </c>
    </row>
    <row r="39" spans="15:34">
      <c r="O39" t="s">
        <v>457</v>
      </c>
      <c r="P39">
        <v>235</v>
      </c>
      <c r="AG39" t="s">
        <v>332</v>
      </c>
    </row>
    <row r="40" spans="15:34">
      <c r="O40" t="s">
        <v>458</v>
      </c>
      <c r="P40">
        <v>236</v>
      </c>
      <c r="AG40" t="s">
        <v>306</v>
      </c>
    </row>
    <row r="41" spans="15:34">
      <c r="O41" t="s">
        <v>459</v>
      </c>
      <c r="P41">
        <v>237</v>
      </c>
      <c r="AG41" t="s">
        <v>307</v>
      </c>
    </row>
    <row r="42" spans="15:34">
      <c r="O42" t="s">
        <v>460</v>
      </c>
      <c r="P42">
        <v>238</v>
      </c>
    </row>
    <row r="43" spans="15:34">
      <c r="O43" t="s">
        <v>461</v>
      </c>
      <c r="P43">
        <v>239</v>
      </c>
    </row>
    <row r="44" spans="15:34">
      <c r="O44" t="s">
        <v>462</v>
      </c>
      <c r="P44">
        <v>241</v>
      </c>
    </row>
    <row r="45" spans="15:34">
      <c r="O45" t="s">
        <v>463</v>
      </c>
      <c r="P45">
        <v>242</v>
      </c>
    </row>
    <row r="46" spans="15:34">
      <c r="O46" t="s">
        <v>464</v>
      </c>
      <c r="P46">
        <v>243</v>
      </c>
    </row>
    <row r="47" spans="15:34">
      <c r="O47" t="s">
        <v>465</v>
      </c>
      <c r="P47">
        <v>244</v>
      </c>
    </row>
    <row r="48" spans="15:34">
      <c r="O48" t="s">
        <v>466</v>
      </c>
      <c r="P48">
        <v>247</v>
      </c>
    </row>
    <row r="49" spans="15:16">
      <c r="O49" t="s">
        <v>467</v>
      </c>
      <c r="P49">
        <v>248</v>
      </c>
    </row>
    <row r="50" spans="15:16">
      <c r="O50" t="s">
        <v>468</v>
      </c>
      <c r="P50">
        <v>249</v>
      </c>
    </row>
    <row r="51" spans="15:16">
      <c r="O51" t="s">
        <v>469</v>
      </c>
      <c r="P51">
        <v>251</v>
      </c>
    </row>
    <row r="52" spans="15:16">
      <c r="O52" t="s">
        <v>470</v>
      </c>
      <c r="P52">
        <v>252</v>
      </c>
    </row>
    <row r="53" spans="15:16">
      <c r="O53" t="s">
        <v>471</v>
      </c>
      <c r="P53">
        <v>253</v>
      </c>
    </row>
    <row r="54" spans="15:16">
      <c r="O54" t="s">
        <v>472</v>
      </c>
      <c r="P54">
        <v>260</v>
      </c>
    </row>
    <row r="55" spans="15:16">
      <c r="O55" t="s">
        <v>473</v>
      </c>
      <c r="P55">
        <v>261</v>
      </c>
    </row>
    <row r="56" spans="15:16">
      <c r="O56" t="s">
        <v>474</v>
      </c>
      <c r="P56">
        <v>262</v>
      </c>
    </row>
    <row r="57" spans="15:16">
      <c r="O57" t="s">
        <v>475</v>
      </c>
      <c r="P57">
        <v>263</v>
      </c>
    </row>
    <row r="58" spans="15:16">
      <c r="O58" t="s">
        <v>476</v>
      </c>
      <c r="P58">
        <v>264</v>
      </c>
    </row>
    <row r="59" spans="15:16">
      <c r="O59" t="s">
        <v>477</v>
      </c>
      <c r="P59">
        <v>265</v>
      </c>
    </row>
    <row r="60" spans="15:16">
      <c r="O60" t="s">
        <v>478</v>
      </c>
      <c r="P60">
        <v>266</v>
      </c>
    </row>
    <row r="61" spans="15:16">
      <c r="O61" t="s">
        <v>479</v>
      </c>
      <c r="P61">
        <v>267</v>
      </c>
    </row>
    <row r="62" spans="15:16">
      <c r="O62" t="s">
        <v>480</v>
      </c>
      <c r="P62">
        <v>268</v>
      </c>
    </row>
    <row r="63" spans="15:16">
      <c r="O63" t="s">
        <v>481</v>
      </c>
      <c r="P63">
        <v>269</v>
      </c>
    </row>
    <row r="64" spans="15:16">
      <c r="O64" t="s">
        <v>482</v>
      </c>
      <c r="P64">
        <v>270</v>
      </c>
    </row>
    <row r="65" spans="15:16">
      <c r="O65" t="s">
        <v>483</v>
      </c>
      <c r="P65">
        <v>272</v>
      </c>
    </row>
    <row r="66" spans="15:16">
      <c r="O66" t="s">
        <v>484</v>
      </c>
      <c r="P66">
        <v>290</v>
      </c>
    </row>
    <row r="67" spans="15:16">
      <c r="O67" t="s">
        <v>485</v>
      </c>
      <c r="P67">
        <v>290</v>
      </c>
    </row>
    <row r="68" spans="15:16">
      <c r="O68" t="s">
        <v>486</v>
      </c>
      <c r="P68">
        <v>300</v>
      </c>
    </row>
    <row r="69" spans="15:16">
      <c r="O69" t="s">
        <v>487</v>
      </c>
      <c r="P69">
        <v>300</v>
      </c>
    </row>
    <row r="70" spans="15:16">
      <c r="O70" t="s">
        <v>488</v>
      </c>
      <c r="P70">
        <v>300</v>
      </c>
    </row>
    <row r="71" spans="15:16">
      <c r="O71" t="s">
        <v>489</v>
      </c>
      <c r="P71">
        <v>302</v>
      </c>
    </row>
    <row r="72" spans="15:16">
      <c r="O72" t="s">
        <v>490</v>
      </c>
      <c r="P72">
        <v>303</v>
      </c>
    </row>
    <row r="73" spans="15:16">
      <c r="O73" t="s">
        <v>491</v>
      </c>
      <c r="P73">
        <v>304</v>
      </c>
    </row>
    <row r="74" spans="15:16">
      <c r="O74" t="s">
        <v>492</v>
      </c>
      <c r="P74">
        <v>305</v>
      </c>
    </row>
    <row r="75" spans="15:16">
      <c r="O75" t="s">
        <v>493</v>
      </c>
      <c r="P75">
        <v>306</v>
      </c>
    </row>
    <row r="76" spans="15:16">
      <c r="O76" t="s">
        <v>494</v>
      </c>
      <c r="P76">
        <v>307</v>
      </c>
    </row>
    <row r="77" spans="15:16">
      <c r="O77" t="s">
        <v>495</v>
      </c>
      <c r="P77">
        <v>308</v>
      </c>
    </row>
    <row r="78" spans="15:16">
      <c r="O78" t="s">
        <v>496</v>
      </c>
      <c r="P78">
        <v>310</v>
      </c>
    </row>
    <row r="79" spans="15:16">
      <c r="O79" t="s">
        <v>497</v>
      </c>
      <c r="P79">
        <v>311</v>
      </c>
    </row>
    <row r="80" spans="15:16">
      <c r="O80" t="s">
        <v>498</v>
      </c>
      <c r="P80">
        <v>312</v>
      </c>
    </row>
    <row r="81" spans="15:16">
      <c r="O81" t="s">
        <v>499</v>
      </c>
      <c r="P81">
        <v>313</v>
      </c>
    </row>
    <row r="82" spans="15:16">
      <c r="O82" t="s">
        <v>500</v>
      </c>
      <c r="P82">
        <v>314</v>
      </c>
    </row>
    <row r="83" spans="15:16">
      <c r="O83" t="s">
        <v>501</v>
      </c>
      <c r="P83">
        <v>315</v>
      </c>
    </row>
    <row r="84" spans="15:16">
      <c r="O84" t="s">
        <v>502</v>
      </c>
      <c r="P84">
        <v>320</v>
      </c>
    </row>
    <row r="85" spans="15:16">
      <c r="O85" t="s">
        <v>503</v>
      </c>
      <c r="P85">
        <v>324</v>
      </c>
    </row>
    <row r="86" spans="15:16">
      <c r="O86" t="s">
        <v>504</v>
      </c>
      <c r="P86">
        <v>325</v>
      </c>
    </row>
    <row r="87" spans="15:16">
      <c r="O87" t="s">
        <v>505</v>
      </c>
      <c r="P87">
        <v>326</v>
      </c>
    </row>
    <row r="88" spans="15:16">
      <c r="O88" t="s">
        <v>506</v>
      </c>
      <c r="P88">
        <v>327</v>
      </c>
    </row>
    <row r="89" spans="15:16">
      <c r="O89" t="s">
        <v>507</v>
      </c>
      <c r="P89">
        <v>328</v>
      </c>
    </row>
    <row r="90" spans="15:16">
      <c r="O90" t="s">
        <v>508</v>
      </c>
      <c r="P90">
        <v>330</v>
      </c>
    </row>
    <row r="91" spans="15:16">
      <c r="O91" t="s">
        <v>509</v>
      </c>
      <c r="P91">
        <v>333</v>
      </c>
    </row>
    <row r="92" spans="15:16">
      <c r="O92" t="s">
        <v>510</v>
      </c>
      <c r="P92">
        <v>334</v>
      </c>
    </row>
    <row r="93" spans="15:16">
      <c r="O93" t="s">
        <v>511</v>
      </c>
      <c r="P93">
        <v>335</v>
      </c>
    </row>
    <row r="94" spans="15:16">
      <c r="O94" t="s">
        <v>512</v>
      </c>
      <c r="P94">
        <v>336</v>
      </c>
    </row>
    <row r="95" spans="15:16">
      <c r="O95" t="s">
        <v>513</v>
      </c>
      <c r="P95">
        <v>337</v>
      </c>
    </row>
    <row r="96" spans="15:16">
      <c r="O96" t="s">
        <v>514</v>
      </c>
      <c r="P96">
        <v>338</v>
      </c>
    </row>
    <row r="97" spans="15:16">
      <c r="O97" t="s">
        <v>515</v>
      </c>
      <c r="P97">
        <v>350</v>
      </c>
    </row>
    <row r="98" spans="15:16">
      <c r="O98" t="s">
        <v>516</v>
      </c>
      <c r="P98">
        <v>351</v>
      </c>
    </row>
    <row r="99" spans="15:16">
      <c r="O99" t="s">
        <v>517</v>
      </c>
      <c r="P99">
        <v>352</v>
      </c>
    </row>
    <row r="100" spans="15:16">
      <c r="O100" t="s">
        <v>518</v>
      </c>
      <c r="P100">
        <v>353</v>
      </c>
    </row>
    <row r="101" spans="15:16">
      <c r="O101" t="s">
        <v>519</v>
      </c>
      <c r="P101">
        <v>354</v>
      </c>
    </row>
    <row r="102" spans="15:16">
      <c r="O102" t="s">
        <v>520</v>
      </c>
      <c r="P102">
        <v>356</v>
      </c>
    </row>
    <row r="103" spans="15:16">
      <c r="O103" t="s">
        <v>521</v>
      </c>
      <c r="P103">
        <v>357</v>
      </c>
    </row>
    <row r="104" spans="15:16">
      <c r="O104" t="s">
        <v>522</v>
      </c>
      <c r="P104">
        <v>358</v>
      </c>
    </row>
    <row r="105" spans="15:16">
      <c r="O105" t="s">
        <v>523</v>
      </c>
      <c r="P105">
        <v>360</v>
      </c>
    </row>
    <row r="106" spans="15:16">
      <c r="O106" t="s">
        <v>524</v>
      </c>
      <c r="P106">
        <v>361</v>
      </c>
    </row>
    <row r="107" spans="15:16">
      <c r="O107" t="s">
        <v>525</v>
      </c>
      <c r="P107">
        <v>362</v>
      </c>
    </row>
    <row r="108" spans="15:16">
      <c r="O108" t="s">
        <v>526</v>
      </c>
      <c r="P108">
        <v>363</v>
      </c>
    </row>
    <row r="109" spans="15:16">
      <c r="O109" t="s">
        <v>527</v>
      </c>
      <c r="P109">
        <v>364</v>
      </c>
    </row>
    <row r="110" spans="15:16">
      <c r="O110" t="s">
        <v>528</v>
      </c>
      <c r="P110">
        <v>365</v>
      </c>
    </row>
    <row r="111" spans="15:16">
      <c r="O111" t="s">
        <v>529</v>
      </c>
      <c r="P111">
        <v>366</v>
      </c>
    </row>
    <row r="112" spans="15:16">
      <c r="O112" t="s">
        <v>530</v>
      </c>
      <c r="P112">
        <v>367</v>
      </c>
    </row>
    <row r="113" spans="15:16">
      <c r="O113" t="s">
        <v>531</v>
      </c>
      <c r="P113">
        <v>368</v>
      </c>
    </row>
    <row r="114" spans="15:16">
      <c r="O114" t="s">
        <v>532</v>
      </c>
      <c r="P114">
        <v>369</v>
      </c>
    </row>
    <row r="115" spans="15:16">
      <c r="O115" t="s">
        <v>533</v>
      </c>
      <c r="P115">
        <v>400</v>
      </c>
    </row>
    <row r="116" spans="15:16">
      <c r="O116" t="s">
        <v>534</v>
      </c>
      <c r="P116">
        <v>401</v>
      </c>
    </row>
    <row r="117" spans="15:16">
      <c r="O117" t="s">
        <v>535</v>
      </c>
      <c r="P117">
        <v>402</v>
      </c>
    </row>
    <row r="118" spans="15:16">
      <c r="O118" t="s">
        <v>536</v>
      </c>
      <c r="P118">
        <v>403</v>
      </c>
    </row>
    <row r="119" spans="15:16">
      <c r="O119" t="s">
        <v>537</v>
      </c>
      <c r="P119">
        <v>404</v>
      </c>
    </row>
    <row r="120" spans="15:16">
      <c r="O120" t="s">
        <v>538</v>
      </c>
      <c r="P120">
        <v>406</v>
      </c>
    </row>
    <row r="121" spans="15:16">
      <c r="O121" t="s">
        <v>539</v>
      </c>
      <c r="P121">
        <v>407</v>
      </c>
    </row>
    <row r="122" spans="15:16">
      <c r="O122" t="s">
        <v>540</v>
      </c>
      <c r="P122">
        <v>408</v>
      </c>
    </row>
    <row r="123" spans="15:16">
      <c r="O123" t="s">
        <v>541</v>
      </c>
      <c r="P123">
        <v>411</v>
      </c>
    </row>
    <row r="124" spans="15:16">
      <c r="O124" t="s">
        <v>542</v>
      </c>
      <c r="P124">
        <v>412</v>
      </c>
    </row>
    <row r="125" spans="15:16">
      <c r="O125" t="s">
        <v>543</v>
      </c>
      <c r="P125">
        <v>413</v>
      </c>
    </row>
    <row r="126" spans="15:16">
      <c r="O126" t="s">
        <v>544</v>
      </c>
      <c r="P126">
        <v>414</v>
      </c>
    </row>
    <row r="127" spans="15:16">
      <c r="O127" t="s">
        <v>545</v>
      </c>
      <c r="P127">
        <v>420</v>
      </c>
    </row>
    <row r="128" spans="15:16">
      <c r="O128" t="s">
        <v>546</v>
      </c>
      <c r="P128">
        <v>421</v>
      </c>
    </row>
    <row r="129" spans="15:16">
      <c r="O129" t="s">
        <v>547</v>
      </c>
      <c r="P129">
        <v>422</v>
      </c>
    </row>
    <row r="130" spans="15:16">
      <c r="O130" t="s">
        <v>548</v>
      </c>
      <c r="P130">
        <v>423</v>
      </c>
    </row>
    <row r="131" spans="15:16">
      <c r="O131" t="s">
        <v>549</v>
      </c>
      <c r="P131">
        <v>424</v>
      </c>
    </row>
    <row r="132" spans="15:16">
      <c r="O132" t="s">
        <v>550</v>
      </c>
      <c r="P132">
        <v>426</v>
      </c>
    </row>
    <row r="133" spans="15:16">
      <c r="O133" t="s">
        <v>551</v>
      </c>
      <c r="P133">
        <v>427</v>
      </c>
    </row>
    <row r="134" spans="15:16">
      <c r="O134" t="s">
        <v>552</v>
      </c>
      <c r="P134">
        <v>428</v>
      </c>
    </row>
    <row r="135" spans="15:16">
      <c r="O135" t="s">
        <v>553</v>
      </c>
      <c r="P135">
        <v>429</v>
      </c>
    </row>
    <row r="136" spans="15:16">
      <c r="O136" t="s">
        <v>554</v>
      </c>
      <c r="P136">
        <v>432</v>
      </c>
    </row>
    <row r="137" spans="15:16">
      <c r="O137" t="s">
        <v>555</v>
      </c>
      <c r="P137">
        <v>433</v>
      </c>
    </row>
    <row r="138" spans="15:16">
      <c r="O138" t="s">
        <v>556</v>
      </c>
      <c r="P138">
        <v>434</v>
      </c>
    </row>
    <row r="139" spans="15:16">
      <c r="O139" t="s">
        <v>557</v>
      </c>
      <c r="P139">
        <v>435</v>
      </c>
    </row>
    <row r="140" spans="15:16">
      <c r="O140" t="s">
        <v>558</v>
      </c>
      <c r="P140">
        <v>436</v>
      </c>
    </row>
    <row r="141" spans="15:16">
      <c r="O141" t="s">
        <v>559</v>
      </c>
      <c r="P141">
        <v>437</v>
      </c>
    </row>
    <row r="142" spans="15:16">
      <c r="O142" t="s">
        <v>560</v>
      </c>
      <c r="P142">
        <v>438</v>
      </c>
    </row>
    <row r="143" spans="15:16">
      <c r="O143" t="s">
        <v>561</v>
      </c>
      <c r="P143">
        <v>439</v>
      </c>
    </row>
    <row r="144" spans="15:16">
      <c r="O144" t="s">
        <v>562</v>
      </c>
      <c r="P144">
        <v>500</v>
      </c>
    </row>
    <row r="145" spans="15:16">
      <c r="O145" t="s">
        <v>563</v>
      </c>
      <c r="P145">
        <v>502</v>
      </c>
    </row>
    <row r="146" spans="15:16">
      <c r="O146" t="s">
        <v>564</v>
      </c>
      <c r="P146">
        <v>503</v>
      </c>
    </row>
    <row r="147" spans="15:16">
      <c r="O147" t="s">
        <v>565</v>
      </c>
      <c r="P147">
        <v>504</v>
      </c>
    </row>
    <row r="148" spans="15:16">
      <c r="O148" t="s">
        <v>566</v>
      </c>
      <c r="P148">
        <v>505</v>
      </c>
    </row>
    <row r="149" spans="15:16">
      <c r="O149" t="s">
        <v>567</v>
      </c>
      <c r="P149">
        <v>506</v>
      </c>
    </row>
    <row r="150" spans="15:16">
      <c r="O150" t="s">
        <v>568</v>
      </c>
      <c r="P150">
        <v>507</v>
      </c>
    </row>
    <row r="151" spans="15:16">
      <c r="O151" t="s">
        <v>569</v>
      </c>
      <c r="P151">
        <v>508</v>
      </c>
    </row>
    <row r="152" spans="15:16">
      <c r="O152" t="s">
        <v>570</v>
      </c>
      <c r="P152">
        <v>509</v>
      </c>
    </row>
    <row r="153" spans="15:16">
      <c r="O153" t="s">
        <v>571</v>
      </c>
      <c r="P153">
        <v>510</v>
      </c>
    </row>
    <row r="154" spans="15:16">
      <c r="O154" t="s">
        <v>572</v>
      </c>
      <c r="P154">
        <v>511</v>
      </c>
    </row>
    <row r="155" spans="15:16">
      <c r="O155" t="s">
        <v>573</v>
      </c>
      <c r="P155">
        <v>512</v>
      </c>
    </row>
    <row r="156" spans="15:16">
      <c r="O156" t="s">
        <v>574</v>
      </c>
      <c r="P156">
        <v>513</v>
      </c>
    </row>
    <row r="157" spans="15:16">
      <c r="O157" t="s">
        <v>575</v>
      </c>
      <c r="P157">
        <v>514</v>
      </c>
    </row>
    <row r="158" spans="15:16">
      <c r="O158" t="s">
        <v>576</v>
      </c>
      <c r="P158">
        <v>515</v>
      </c>
    </row>
    <row r="159" spans="15:16">
      <c r="O159" t="s">
        <v>577</v>
      </c>
      <c r="P159">
        <v>516</v>
      </c>
    </row>
    <row r="160" spans="15:16">
      <c r="O160" t="s">
        <v>578</v>
      </c>
      <c r="P160">
        <v>520</v>
      </c>
    </row>
    <row r="161" spans="15:16">
      <c r="O161" t="s">
        <v>579</v>
      </c>
      <c r="P161">
        <v>521</v>
      </c>
    </row>
    <row r="162" spans="15:16">
      <c r="O162" t="s">
        <v>580</v>
      </c>
      <c r="P162">
        <v>522</v>
      </c>
    </row>
    <row r="163" spans="15:16">
      <c r="O163" t="s">
        <v>581</v>
      </c>
      <c r="P163">
        <v>523</v>
      </c>
    </row>
    <row r="164" spans="15:16">
      <c r="O164" t="s">
        <v>582</v>
      </c>
      <c r="P164">
        <v>524</v>
      </c>
    </row>
    <row r="165" spans="15:16">
      <c r="O165" t="s">
        <v>583</v>
      </c>
      <c r="P165">
        <v>525</v>
      </c>
    </row>
    <row r="166" spans="15:16">
      <c r="O166" t="s">
        <v>584</v>
      </c>
      <c r="P166">
        <v>526</v>
      </c>
    </row>
    <row r="167" spans="15:16">
      <c r="O167" t="s">
        <v>585</v>
      </c>
      <c r="P167">
        <v>527</v>
      </c>
    </row>
    <row r="168" spans="15:16">
      <c r="O168" t="s">
        <v>586</v>
      </c>
      <c r="P168">
        <v>528</v>
      </c>
    </row>
    <row r="169" spans="15:16">
      <c r="O169" t="s">
        <v>587</v>
      </c>
      <c r="P169">
        <v>530</v>
      </c>
    </row>
    <row r="170" spans="15:16">
      <c r="O170" t="s">
        <v>588</v>
      </c>
      <c r="P170">
        <v>540</v>
      </c>
    </row>
    <row r="171" spans="15:16">
      <c r="O171" t="s">
        <v>589</v>
      </c>
      <c r="P171">
        <v>541</v>
      </c>
    </row>
    <row r="172" spans="15:16">
      <c r="O172" t="s">
        <v>590</v>
      </c>
      <c r="P172">
        <v>542</v>
      </c>
    </row>
    <row r="173" spans="15:16">
      <c r="O173" t="s">
        <v>591</v>
      </c>
      <c r="P173">
        <v>544</v>
      </c>
    </row>
    <row r="174" spans="15:16">
      <c r="O174" t="s">
        <v>592</v>
      </c>
      <c r="P174">
        <v>545</v>
      </c>
    </row>
    <row r="175" spans="15:16">
      <c r="O175" t="s">
        <v>593</v>
      </c>
      <c r="P175">
        <v>546</v>
      </c>
    </row>
    <row r="176" spans="15:16">
      <c r="O176" t="s">
        <v>594</v>
      </c>
      <c r="P176">
        <v>551</v>
      </c>
    </row>
    <row r="177" spans="15:16">
      <c r="O177" t="s">
        <v>595</v>
      </c>
      <c r="P177">
        <v>552</v>
      </c>
    </row>
    <row r="178" spans="15:16">
      <c r="O178" t="s">
        <v>596</v>
      </c>
      <c r="P178">
        <v>553</v>
      </c>
    </row>
    <row r="179" spans="15:16">
      <c r="O179" t="s">
        <v>597</v>
      </c>
      <c r="P179">
        <v>555</v>
      </c>
    </row>
    <row r="180" spans="15:16">
      <c r="O180" t="s">
        <v>598</v>
      </c>
      <c r="P180">
        <v>556</v>
      </c>
    </row>
    <row r="181" spans="15:16">
      <c r="O181" t="s">
        <v>599</v>
      </c>
      <c r="P181">
        <v>557</v>
      </c>
    </row>
    <row r="182" spans="15:16">
      <c r="O182" t="s">
        <v>600</v>
      </c>
      <c r="P182">
        <v>558</v>
      </c>
    </row>
    <row r="183" spans="15:16">
      <c r="O183" t="s">
        <v>601</v>
      </c>
      <c r="P183">
        <v>600</v>
      </c>
    </row>
    <row r="184" spans="15:16">
      <c r="O184" t="s">
        <v>602</v>
      </c>
      <c r="P184">
        <v>600</v>
      </c>
    </row>
    <row r="185" spans="15:16">
      <c r="O185" t="s">
        <v>603</v>
      </c>
      <c r="P185">
        <v>602</v>
      </c>
    </row>
    <row r="186" spans="15:16">
      <c r="O186" t="s">
        <v>604</v>
      </c>
      <c r="P186">
        <v>603</v>
      </c>
    </row>
    <row r="187" spans="15:16">
      <c r="O187" t="s">
        <v>605</v>
      </c>
      <c r="P187">
        <v>604</v>
      </c>
    </row>
    <row r="188" spans="15:16">
      <c r="O188" t="s">
        <v>606</v>
      </c>
      <c r="P188">
        <v>605</v>
      </c>
    </row>
    <row r="189" spans="15:16">
      <c r="O189" t="s">
        <v>607</v>
      </c>
      <c r="P189">
        <v>606</v>
      </c>
    </row>
    <row r="190" spans="15:16">
      <c r="O190" t="s">
        <v>608</v>
      </c>
      <c r="P190">
        <v>607</v>
      </c>
    </row>
    <row r="191" spans="15:16">
      <c r="O191" t="s">
        <v>609</v>
      </c>
      <c r="P191">
        <v>608</v>
      </c>
    </row>
    <row r="192" spans="15:16">
      <c r="O192" t="s">
        <v>610</v>
      </c>
      <c r="P192">
        <v>611</v>
      </c>
    </row>
    <row r="193" spans="15:16">
      <c r="O193" t="s">
        <v>611</v>
      </c>
      <c r="P193">
        <v>612</v>
      </c>
    </row>
    <row r="194" spans="15:16">
      <c r="O194" t="s">
        <v>612</v>
      </c>
      <c r="P194">
        <v>613</v>
      </c>
    </row>
    <row r="195" spans="15:16">
      <c r="O195" t="s">
        <v>613</v>
      </c>
      <c r="P195">
        <v>614</v>
      </c>
    </row>
    <row r="196" spans="15:16">
      <c r="O196" t="s">
        <v>614</v>
      </c>
      <c r="P196">
        <v>615</v>
      </c>
    </row>
    <row r="197" spans="15:16">
      <c r="O197" t="s">
        <v>615</v>
      </c>
      <c r="P197">
        <v>616</v>
      </c>
    </row>
    <row r="198" spans="15:16">
      <c r="O198" t="s">
        <v>616</v>
      </c>
      <c r="P198">
        <v>621</v>
      </c>
    </row>
    <row r="199" spans="15:16">
      <c r="O199" t="s">
        <v>617</v>
      </c>
      <c r="P199">
        <v>622</v>
      </c>
    </row>
    <row r="200" spans="15:16">
      <c r="O200" t="s">
        <v>618</v>
      </c>
      <c r="P200">
        <v>623</v>
      </c>
    </row>
    <row r="201" spans="15:16">
      <c r="O201" t="s">
        <v>619</v>
      </c>
      <c r="P201">
        <v>624</v>
      </c>
    </row>
    <row r="202" spans="15:16">
      <c r="O202" t="s">
        <v>620</v>
      </c>
      <c r="P202">
        <v>625</v>
      </c>
    </row>
    <row r="203" spans="15:16">
      <c r="O203" t="s">
        <v>621</v>
      </c>
      <c r="P203">
        <v>630</v>
      </c>
    </row>
    <row r="204" spans="15:16">
      <c r="O204" t="s">
        <v>622</v>
      </c>
      <c r="P204">
        <v>631</v>
      </c>
    </row>
    <row r="205" spans="15:16">
      <c r="O205" t="s">
        <v>623</v>
      </c>
      <c r="P205">
        <v>632</v>
      </c>
    </row>
    <row r="206" spans="15:16">
      <c r="O206" t="s">
        <v>624</v>
      </c>
      <c r="P206">
        <v>633</v>
      </c>
    </row>
    <row r="207" spans="15:16">
      <c r="O207" t="s">
        <v>625</v>
      </c>
      <c r="P207">
        <v>634</v>
      </c>
    </row>
    <row r="208" spans="15:16">
      <c r="O208" t="s">
        <v>626</v>
      </c>
      <c r="P208">
        <v>635</v>
      </c>
    </row>
    <row r="209" spans="15:16">
      <c r="O209" t="s">
        <v>627</v>
      </c>
      <c r="P209">
        <v>636</v>
      </c>
    </row>
    <row r="210" spans="15:16">
      <c r="O210" t="s">
        <v>628</v>
      </c>
      <c r="P210">
        <v>637</v>
      </c>
    </row>
    <row r="211" spans="15:16">
      <c r="O211" t="s">
        <v>629</v>
      </c>
      <c r="P211">
        <v>638</v>
      </c>
    </row>
    <row r="212" spans="15:16">
      <c r="O212" t="s">
        <v>630</v>
      </c>
      <c r="P212">
        <v>640</v>
      </c>
    </row>
    <row r="213" spans="15:16">
      <c r="O213" t="s">
        <v>631</v>
      </c>
      <c r="P213">
        <v>643</v>
      </c>
    </row>
    <row r="214" spans="15:16">
      <c r="O214" t="s">
        <v>632</v>
      </c>
      <c r="P214">
        <v>646</v>
      </c>
    </row>
    <row r="215" spans="15:16">
      <c r="O215" t="s">
        <v>633</v>
      </c>
      <c r="P215">
        <v>647</v>
      </c>
    </row>
    <row r="216" spans="15:16">
      <c r="O216" t="s">
        <v>634</v>
      </c>
      <c r="P216">
        <v>648</v>
      </c>
    </row>
    <row r="217" spans="15:16">
      <c r="O217" t="s">
        <v>635</v>
      </c>
      <c r="P217">
        <v>649</v>
      </c>
    </row>
    <row r="218" spans="15:16">
      <c r="O218" t="s">
        <v>636</v>
      </c>
      <c r="P218">
        <v>651</v>
      </c>
    </row>
    <row r="219" spans="15:16">
      <c r="O219" t="s">
        <v>637</v>
      </c>
      <c r="P219">
        <v>652</v>
      </c>
    </row>
    <row r="220" spans="15:16">
      <c r="O220" t="s">
        <v>638</v>
      </c>
      <c r="P220">
        <v>653</v>
      </c>
    </row>
    <row r="221" spans="15:16">
      <c r="O221" t="s">
        <v>639</v>
      </c>
      <c r="P221">
        <v>654</v>
      </c>
    </row>
    <row r="222" spans="15:16">
      <c r="O222" t="s">
        <v>640</v>
      </c>
      <c r="P222">
        <v>655</v>
      </c>
    </row>
    <row r="223" spans="15:16">
      <c r="O223" t="s">
        <v>641</v>
      </c>
      <c r="P223">
        <v>700</v>
      </c>
    </row>
    <row r="224" spans="15:16">
      <c r="O224" t="s">
        <v>642</v>
      </c>
      <c r="P224">
        <v>701</v>
      </c>
    </row>
    <row r="225" spans="15:16">
      <c r="O225" t="s">
        <v>643</v>
      </c>
      <c r="P225">
        <v>702</v>
      </c>
    </row>
    <row r="226" spans="15:16">
      <c r="O226" t="s">
        <v>644</v>
      </c>
      <c r="P226">
        <v>704</v>
      </c>
    </row>
    <row r="227" spans="15:16">
      <c r="O227" t="s">
        <v>645</v>
      </c>
      <c r="P227">
        <v>708</v>
      </c>
    </row>
    <row r="228" spans="15:16">
      <c r="O228" t="s">
        <v>646</v>
      </c>
      <c r="P228">
        <v>709</v>
      </c>
    </row>
    <row r="229" spans="15:16">
      <c r="O229" t="s">
        <v>647</v>
      </c>
      <c r="P229">
        <v>710</v>
      </c>
    </row>
    <row r="230" spans="15:16">
      <c r="O230" t="s">
        <v>648</v>
      </c>
      <c r="P230">
        <v>711</v>
      </c>
    </row>
    <row r="231" spans="15:16">
      <c r="O231" t="s">
        <v>649</v>
      </c>
      <c r="P231">
        <v>712</v>
      </c>
    </row>
    <row r="232" spans="15:16">
      <c r="O232" t="s">
        <v>650</v>
      </c>
      <c r="P232">
        <v>713</v>
      </c>
    </row>
    <row r="233" spans="15:16">
      <c r="O233" t="s">
        <v>651</v>
      </c>
      <c r="P233">
        <v>714</v>
      </c>
    </row>
    <row r="234" spans="15:16">
      <c r="O234" t="s">
        <v>652</v>
      </c>
      <c r="P234">
        <v>715</v>
      </c>
    </row>
    <row r="235" spans="15:16">
      <c r="O235" t="s">
        <v>653</v>
      </c>
      <c r="P235">
        <v>716</v>
      </c>
    </row>
    <row r="236" spans="15:16">
      <c r="O236" t="s">
        <v>654</v>
      </c>
      <c r="P236">
        <v>717</v>
      </c>
    </row>
    <row r="237" spans="15:16">
      <c r="O237" t="s">
        <v>655</v>
      </c>
      <c r="P237">
        <v>718</v>
      </c>
    </row>
    <row r="238" spans="15:16">
      <c r="O238" t="s">
        <v>656</v>
      </c>
      <c r="P238">
        <v>719</v>
      </c>
    </row>
    <row r="239" spans="15:16">
      <c r="O239" t="s">
        <v>657</v>
      </c>
      <c r="P239">
        <v>720</v>
      </c>
    </row>
    <row r="240" spans="15:16">
      <c r="O240" t="s">
        <v>658</v>
      </c>
      <c r="P240">
        <v>721</v>
      </c>
    </row>
    <row r="241" spans="15:16">
      <c r="O241" t="s">
        <v>659</v>
      </c>
      <c r="P241">
        <v>722</v>
      </c>
    </row>
    <row r="242" spans="15:16">
      <c r="O242" t="s">
        <v>660</v>
      </c>
      <c r="P242">
        <v>723</v>
      </c>
    </row>
    <row r="243" spans="15:16">
      <c r="O243" t="s">
        <v>661</v>
      </c>
      <c r="P243">
        <v>724</v>
      </c>
    </row>
    <row r="244" spans="15:16">
      <c r="O244" t="s">
        <v>662</v>
      </c>
      <c r="P244">
        <v>725</v>
      </c>
    </row>
    <row r="245" spans="15:16">
      <c r="O245" t="s">
        <v>663</v>
      </c>
      <c r="P245">
        <v>726</v>
      </c>
    </row>
    <row r="246" spans="15:16">
      <c r="O246" t="s">
        <v>664</v>
      </c>
      <c r="P246">
        <v>727</v>
      </c>
    </row>
    <row r="247" spans="15:16">
      <c r="O247" t="s">
        <v>665</v>
      </c>
      <c r="P247">
        <v>730</v>
      </c>
    </row>
    <row r="248" spans="15:16">
      <c r="O248" t="s">
        <v>666</v>
      </c>
      <c r="P248">
        <v>731</v>
      </c>
    </row>
    <row r="249" spans="15:16">
      <c r="O249" t="s">
        <v>667</v>
      </c>
      <c r="P249">
        <v>732</v>
      </c>
    </row>
    <row r="250" spans="15:16">
      <c r="O250" t="s">
        <v>668</v>
      </c>
      <c r="P250">
        <v>733</v>
      </c>
    </row>
    <row r="251" spans="15:16">
      <c r="O251" t="s">
        <v>669</v>
      </c>
      <c r="P251">
        <v>734</v>
      </c>
    </row>
    <row r="252" spans="15:16">
      <c r="O252" t="s">
        <v>670</v>
      </c>
      <c r="P252">
        <v>735</v>
      </c>
    </row>
    <row r="253" spans="15:16">
      <c r="O253" t="s">
        <v>671</v>
      </c>
      <c r="P253">
        <v>736</v>
      </c>
    </row>
    <row r="254" spans="15:16">
      <c r="O254" t="s">
        <v>672</v>
      </c>
      <c r="P254">
        <v>737</v>
      </c>
    </row>
    <row r="255" spans="15:16">
      <c r="O255" t="s">
        <v>673</v>
      </c>
      <c r="P255">
        <v>741</v>
      </c>
    </row>
    <row r="256" spans="15:16">
      <c r="O256" t="s">
        <v>674</v>
      </c>
      <c r="P256">
        <v>742</v>
      </c>
    </row>
    <row r="257" spans="15:16">
      <c r="O257" t="s">
        <v>675</v>
      </c>
      <c r="P257">
        <v>743</v>
      </c>
    </row>
    <row r="258" spans="15:16">
      <c r="O258" t="s">
        <v>676</v>
      </c>
      <c r="P258">
        <v>744</v>
      </c>
    </row>
    <row r="259" spans="15:16">
      <c r="O259" t="s">
        <v>677</v>
      </c>
      <c r="P259">
        <v>745</v>
      </c>
    </row>
    <row r="260" spans="15:16">
      <c r="O260" t="s">
        <v>678</v>
      </c>
      <c r="P260">
        <v>800</v>
      </c>
    </row>
    <row r="261" spans="15:16">
      <c r="O261" t="s">
        <v>679</v>
      </c>
      <c r="P261">
        <v>801</v>
      </c>
    </row>
    <row r="262" spans="15:16">
      <c r="O262" t="s">
        <v>680</v>
      </c>
      <c r="P262">
        <v>802</v>
      </c>
    </row>
    <row r="263" spans="15:16">
      <c r="O263" t="s">
        <v>681</v>
      </c>
      <c r="P263">
        <v>803</v>
      </c>
    </row>
    <row r="264" spans="15:16">
      <c r="O264" t="s">
        <v>682</v>
      </c>
      <c r="P264">
        <v>804</v>
      </c>
    </row>
    <row r="265" spans="15:16">
      <c r="O265" t="s">
        <v>683</v>
      </c>
      <c r="P265">
        <v>805</v>
      </c>
    </row>
    <row r="266" spans="15:16">
      <c r="O266" t="s">
        <v>684</v>
      </c>
      <c r="P266">
        <v>806</v>
      </c>
    </row>
    <row r="267" spans="15:16">
      <c r="O267" t="s">
        <v>685</v>
      </c>
      <c r="P267">
        <v>807</v>
      </c>
    </row>
    <row r="268" spans="15:16">
      <c r="O268" t="s">
        <v>686</v>
      </c>
      <c r="P268">
        <v>811</v>
      </c>
    </row>
    <row r="269" spans="15:16">
      <c r="O269" t="s">
        <v>687</v>
      </c>
      <c r="P269">
        <v>812</v>
      </c>
    </row>
    <row r="270" spans="15:16">
      <c r="O270" t="s">
        <v>688</v>
      </c>
      <c r="P270">
        <v>813</v>
      </c>
    </row>
    <row r="271" spans="15:16">
      <c r="O271" t="s">
        <v>689</v>
      </c>
      <c r="P271">
        <v>814</v>
      </c>
    </row>
    <row r="272" spans="15:16">
      <c r="O272" t="s">
        <v>690</v>
      </c>
      <c r="P272">
        <v>815</v>
      </c>
    </row>
    <row r="273" spans="15:16">
      <c r="O273" t="s">
        <v>691</v>
      </c>
      <c r="P273">
        <v>817</v>
      </c>
    </row>
    <row r="274" spans="15:16">
      <c r="O274" t="s">
        <v>692</v>
      </c>
      <c r="P274">
        <v>819</v>
      </c>
    </row>
    <row r="275" spans="15:16">
      <c r="O275" t="s">
        <v>693</v>
      </c>
      <c r="P275">
        <v>817</v>
      </c>
    </row>
    <row r="276" spans="15:16">
      <c r="O276" t="s">
        <v>694</v>
      </c>
      <c r="P276">
        <v>819</v>
      </c>
    </row>
    <row r="277" spans="15:16">
      <c r="O277" t="s">
        <v>695</v>
      </c>
      <c r="P277">
        <v>820</v>
      </c>
    </row>
    <row r="278" spans="15:16">
      <c r="O278" t="s">
        <v>696</v>
      </c>
      <c r="P278">
        <v>821</v>
      </c>
    </row>
    <row r="279" spans="15:16">
      <c r="O279" t="s">
        <v>697</v>
      </c>
      <c r="P279">
        <v>822</v>
      </c>
    </row>
    <row r="280" spans="15:16">
      <c r="O280" t="s">
        <v>698</v>
      </c>
      <c r="P280">
        <v>823</v>
      </c>
    </row>
    <row r="281" spans="15:16">
      <c r="O281" t="s">
        <v>699</v>
      </c>
      <c r="P281">
        <v>824</v>
      </c>
    </row>
    <row r="282" spans="15:16">
      <c r="O282" t="s">
        <v>700</v>
      </c>
      <c r="P282">
        <v>825</v>
      </c>
    </row>
    <row r="283" spans="15:16">
      <c r="O283" t="s">
        <v>701</v>
      </c>
      <c r="P283">
        <v>826</v>
      </c>
    </row>
    <row r="284" spans="15:16">
      <c r="O284" t="s">
        <v>702</v>
      </c>
      <c r="P284">
        <v>827</v>
      </c>
    </row>
    <row r="285" spans="15:16">
      <c r="O285" t="s">
        <v>703</v>
      </c>
      <c r="P285">
        <v>828</v>
      </c>
    </row>
    <row r="286" spans="15:16">
      <c r="O286" t="s">
        <v>704</v>
      </c>
      <c r="P286">
        <v>829</v>
      </c>
    </row>
    <row r="287" spans="15:16">
      <c r="O287" t="s">
        <v>705</v>
      </c>
      <c r="P287">
        <v>830</v>
      </c>
    </row>
    <row r="288" spans="15:16">
      <c r="O288" t="s">
        <v>706</v>
      </c>
      <c r="P288">
        <v>831</v>
      </c>
    </row>
    <row r="289" spans="15:16">
      <c r="O289" t="s">
        <v>707</v>
      </c>
      <c r="P289">
        <v>832</v>
      </c>
    </row>
    <row r="290" spans="15:16">
      <c r="O290" t="s">
        <v>708</v>
      </c>
      <c r="P290">
        <v>833</v>
      </c>
    </row>
    <row r="291" spans="15:16">
      <c r="O291" t="s">
        <v>709</v>
      </c>
      <c r="P291">
        <v>840</v>
      </c>
    </row>
    <row r="292" spans="15:16">
      <c r="O292" t="s">
        <v>710</v>
      </c>
      <c r="P292">
        <v>842</v>
      </c>
    </row>
    <row r="293" spans="15:16">
      <c r="O293" t="s">
        <v>711</v>
      </c>
      <c r="P293">
        <v>843</v>
      </c>
    </row>
    <row r="294" spans="15:16">
      <c r="O294" t="s">
        <v>712</v>
      </c>
      <c r="P294">
        <v>844</v>
      </c>
    </row>
    <row r="295" spans="15:16">
      <c r="O295" t="s">
        <v>713</v>
      </c>
      <c r="P295">
        <v>845</v>
      </c>
    </row>
    <row r="296" spans="15:16">
      <c r="O296" t="s">
        <v>714</v>
      </c>
      <c r="P296">
        <v>846</v>
      </c>
    </row>
    <row r="297" spans="15:16">
      <c r="O297" t="s">
        <v>715</v>
      </c>
      <c r="P297">
        <v>847</v>
      </c>
    </row>
    <row r="298" spans="15:16">
      <c r="O298" t="s">
        <v>716</v>
      </c>
      <c r="P298">
        <v>848</v>
      </c>
    </row>
    <row r="299" spans="15:16">
      <c r="O299" t="s">
        <v>717</v>
      </c>
      <c r="P299">
        <v>849</v>
      </c>
    </row>
    <row r="300" spans="15:16">
      <c r="O300" t="s">
        <v>718</v>
      </c>
      <c r="P300">
        <v>851</v>
      </c>
    </row>
    <row r="301" spans="15:16">
      <c r="O301" t="s">
        <v>719</v>
      </c>
      <c r="P301">
        <v>852</v>
      </c>
    </row>
    <row r="302" spans="15:16">
      <c r="O302" t="s">
        <v>720</v>
      </c>
      <c r="P302">
        <v>880</v>
      </c>
    </row>
    <row r="303" spans="15:16">
      <c r="O303" t="s">
        <v>721</v>
      </c>
      <c r="P303">
        <v>881</v>
      </c>
    </row>
    <row r="304" spans="15:16">
      <c r="O304" t="s">
        <v>722</v>
      </c>
      <c r="P304">
        <v>882</v>
      </c>
    </row>
    <row r="305" spans="15:16">
      <c r="O305" t="s">
        <v>723</v>
      </c>
      <c r="P305">
        <v>883</v>
      </c>
    </row>
    <row r="306" spans="15:16">
      <c r="O306" t="s">
        <v>724</v>
      </c>
      <c r="P306">
        <v>884</v>
      </c>
    </row>
    <row r="307" spans="15:16">
      <c r="O307" t="s">
        <v>725</v>
      </c>
      <c r="P307">
        <v>885</v>
      </c>
    </row>
    <row r="308" spans="15:16">
      <c r="O308" t="s">
        <v>726</v>
      </c>
      <c r="P308">
        <v>890</v>
      </c>
    </row>
    <row r="309" spans="15:16">
      <c r="O309" t="s">
        <v>727</v>
      </c>
      <c r="P309">
        <v>891</v>
      </c>
    </row>
    <row r="310" spans="15:16">
      <c r="O310" t="s">
        <v>728</v>
      </c>
      <c r="P310">
        <v>892</v>
      </c>
    </row>
    <row r="311" spans="15:16">
      <c r="O311" t="s">
        <v>729</v>
      </c>
      <c r="P311">
        <v>893</v>
      </c>
    </row>
    <row r="312" spans="15:16">
      <c r="O312" t="s">
        <v>730</v>
      </c>
      <c r="P312">
        <v>894</v>
      </c>
    </row>
    <row r="313" spans="15:16">
      <c r="O313" t="s">
        <v>731</v>
      </c>
      <c r="P313">
        <v>896</v>
      </c>
    </row>
    <row r="314" spans="15:16">
      <c r="O314" t="s">
        <v>732</v>
      </c>
      <c r="P314">
        <v>900</v>
      </c>
    </row>
    <row r="315" spans="15:16">
      <c r="O315" t="s">
        <v>733</v>
      </c>
      <c r="P315">
        <v>901</v>
      </c>
    </row>
    <row r="316" spans="15:16">
      <c r="O316" t="s">
        <v>734</v>
      </c>
      <c r="P316">
        <v>902</v>
      </c>
    </row>
    <row r="317" spans="15:16">
      <c r="O317" t="s">
        <v>735</v>
      </c>
      <c r="P317">
        <v>903</v>
      </c>
    </row>
    <row r="318" spans="15:16">
      <c r="O318" t="s">
        <v>736</v>
      </c>
      <c r="P318">
        <v>904</v>
      </c>
    </row>
    <row r="319" spans="15:16">
      <c r="O319" t="s">
        <v>737</v>
      </c>
      <c r="P319">
        <v>905</v>
      </c>
    </row>
    <row r="320" spans="15:16">
      <c r="O320" t="s">
        <v>738</v>
      </c>
      <c r="P320">
        <v>906</v>
      </c>
    </row>
    <row r="321" spans="15:16">
      <c r="O321" t="s">
        <v>739</v>
      </c>
      <c r="P321">
        <v>907</v>
      </c>
    </row>
    <row r="322" spans="15:16">
      <c r="O322" t="s">
        <v>740</v>
      </c>
      <c r="P322">
        <v>908</v>
      </c>
    </row>
    <row r="323" spans="15:16">
      <c r="O323" t="s">
        <v>741</v>
      </c>
      <c r="P323">
        <v>909</v>
      </c>
    </row>
    <row r="324" spans="15:16">
      <c r="O324" t="s">
        <v>742</v>
      </c>
      <c r="P324">
        <v>911</v>
      </c>
    </row>
    <row r="325" spans="15:16">
      <c r="O325" t="s">
        <v>743</v>
      </c>
      <c r="P325">
        <v>912</v>
      </c>
    </row>
    <row r="326" spans="15:16">
      <c r="O326" t="s">
        <v>744</v>
      </c>
      <c r="P326">
        <v>913</v>
      </c>
    </row>
    <row r="327" spans="15:16">
      <c r="O327" t="s">
        <v>745</v>
      </c>
      <c r="P327">
        <v>920</v>
      </c>
    </row>
    <row r="328" spans="15:16">
      <c r="O328" t="s">
        <v>746</v>
      </c>
      <c r="P328">
        <v>921</v>
      </c>
    </row>
    <row r="329" spans="15:16">
      <c r="O329" t="s">
        <v>747</v>
      </c>
      <c r="P329">
        <v>922</v>
      </c>
    </row>
    <row r="330" spans="15:16">
      <c r="O330" t="s">
        <v>748</v>
      </c>
      <c r="P330">
        <v>923</v>
      </c>
    </row>
    <row r="331" spans="15:16">
      <c r="O331" t="s">
        <v>749</v>
      </c>
      <c r="P331">
        <v>924</v>
      </c>
    </row>
    <row r="332" spans="15:16">
      <c r="O332" t="s">
        <v>750</v>
      </c>
      <c r="P332">
        <v>925</v>
      </c>
    </row>
    <row r="333" spans="15:16">
      <c r="O333" t="s">
        <v>751</v>
      </c>
      <c r="P333">
        <v>926</v>
      </c>
    </row>
    <row r="334" spans="15:16">
      <c r="O334" t="s">
        <v>752</v>
      </c>
      <c r="P334">
        <v>927</v>
      </c>
    </row>
    <row r="335" spans="15:16">
      <c r="O335" t="s">
        <v>753</v>
      </c>
      <c r="P335">
        <v>928</v>
      </c>
    </row>
    <row r="336" spans="15:16">
      <c r="O336" t="s">
        <v>754</v>
      </c>
      <c r="P336">
        <v>929</v>
      </c>
    </row>
    <row r="337" spans="15:16">
      <c r="O337" t="s">
        <v>755</v>
      </c>
      <c r="P337">
        <v>931</v>
      </c>
    </row>
    <row r="338" spans="15:16">
      <c r="O338" t="s">
        <v>756</v>
      </c>
      <c r="P338">
        <v>932</v>
      </c>
    </row>
    <row r="339" spans="15:16">
      <c r="O339" t="s">
        <v>757</v>
      </c>
      <c r="P339">
        <v>940</v>
      </c>
    </row>
    <row r="340" spans="15:16">
      <c r="O340" t="s">
        <v>758</v>
      </c>
      <c r="P340">
        <v>941</v>
      </c>
    </row>
    <row r="341" spans="15:16">
      <c r="O341" t="s">
        <v>759</v>
      </c>
      <c r="P341">
        <v>942</v>
      </c>
    </row>
    <row r="342" spans="15:16">
      <c r="O342" t="s">
        <v>760</v>
      </c>
      <c r="P342">
        <v>943</v>
      </c>
    </row>
    <row r="343" spans="15:16">
      <c r="O343" t="s">
        <v>761</v>
      </c>
      <c r="P343">
        <v>944</v>
      </c>
    </row>
    <row r="344" spans="15:16">
      <c r="O344" t="s">
        <v>762</v>
      </c>
      <c r="P344">
        <v>945</v>
      </c>
    </row>
    <row r="345" spans="15:16">
      <c r="O345" t="s">
        <v>763</v>
      </c>
      <c r="P345">
        <v>946</v>
      </c>
    </row>
    <row r="346" spans="15:16">
      <c r="O346" t="s">
        <v>764</v>
      </c>
      <c r="P346">
        <v>947</v>
      </c>
    </row>
    <row r="347" spans="15:16">
      <c r="O347" t="s">
        <v>765</v>
      </c>
      <c r="P347">
        <v>950</v>
      </c>
    </row>
    <row r="348" spans="15:16">
      <c r="O348" t="s">
        <v>766</v>
      </c>
      <c r="P348">
        <v>951</v>
      </c>
    </row>
    <row r="349" spans="15:16">
      <c r="O349" t="s">
        <v>767</v>
      </c>
      <c r="P349">
        <v>952</v>
      </c>
    </row>
    <row r="350" spans="15:16">
      <c r="O350" t="s">
        <v>768</v>
      </c>
      <c r="P350">
        <v>953</v>
      </c>
    </row>
    <row r="351" spans="15:16">
      <c r="O351" t="s">
        <v>769</v>
      </c>
      <c r="P351">
        <v>954</v>
      </c>
    </row>
    <row r="352" spans="15:16">
      <c r="O352" t="s">
        <v>770</v>
      </c>
      <c r="P352">
        <v>955</v>
      </c>
    </row>
    <row r="353" spans="15:16">
      <c r="O353" t="s">
        <v>771</v>
      </c>
      <c r="P353">
        <v>956</v>
      </c>
    </row>
    <row r="354" spans="15:16">
      <c r="O354" t="s">
        <v>772</v>
      </c>
      <c r="P354">
        <v>957</v>
      </c>
    </row>
    <row r="355" spans="15:16">
      <c r="O355" t="s">
        <v>773</v>
      </c>
      <c r="P355">
        <v>958</v>
      </c>
    </row>
    <row r="356" spans="15:16">
      <c r="O356" t="s">
        <v>774</v>
      </c>
      <c r="P356">
        <v>959</v>
      </c>
    </row>
    <row r="357" spans="15:16">
      <c r="O357" t="s">
        <v>775</v>
      </c>
      <c r="P357">
        <v>961</v>
      </c>
    </row>
    <row r="358" spans="15:16">
      <c r="O358" t="s">
        <v>776</v>
      </c>
      <c r="P358">
        <v>962</v>
      </c>
    </row>
    <row r="359" spans="15:16">
      <c r="O359" t="s">
        <v>777</v>
      </c>
      <c r="P359">
        <v>963</v>
      </c>
    </row>
    <row r="360" spans="15:16">
      <c r="O360" t="s">
        <v>778</v>
      </c>
      <c r="P360">
        <v>964</v>
      </c>
    </row>
    <row r="361" spans="15:16">
      <c r="O361" t="s">
        <v>779</v>
      </c>
      <c r="P361">
        <v>965</v>
      </c>
    </row>
    <row r="362" spans="15:16">
      <c r="O362" t="s">
        <v>780</v>
      </c>
      <c r="P362">
        <v>966</v>
      </c>
    </row>
    <row r="363" spans="15:16">
      <c r="O363" t="s">
        <v>781</v>
      </c>
      <c r="P363">
        <v>970</v>
      </c>
    </row>
    <row r="364" spans="15:16">
      <c r="O364" t="s">
        <v>782</v>
      </c>
      <c r="P364">
        <v>971</v>
      </c>
    </row>
    <row r="365" spans="15:16">
      <c r="O365" t="s">
        <v>783</v>
      </c>
      <c r="P365">
        <v>972</v>
      </c>
    </row>
    <row r="366" spans="15:16">
      <c r="O366" t="s">
        <v>784</v>
      </c>
      <c r="P366">
        <v>973</v>
      </c>
    </row>
    <row r="367" spans="15:16">
      <c r="O367" t="s">
        <v>785</v>
      </c>
      <c r="P367">
        <v>974</v>
      </c>
    </row>
    <row r="368" spans="15:16">
      <c r="O368" t="s">
        <v>786</v>
      </c>
      <c r="P368">
        <v>975</v>
      </c>
    </row>
    <row r="369" spans="15:16">
      <c r="O369" t="s">
        <v>787</v>
      </c>
      <c r="P369">
        <v>976</v>
      </c>
    </row>
    <row r="370" spans="15:16">
      <c r="O370" t="s">
        <v>788</v>
      </c>
      <c r="P370">
        <v>977</v>
      </c>
    </row>
    <row r="371" spans="15:16">
      <c r="O371" t="s">
        <v>789</v>
      </c>
      <c r="P371">
        <v>978</v>
      </c>
    </row>
    <row r="372" spans="15:16">
      <c r="O372" t="s">
        <v>790</v>
      </c>
      <c r="P372">
        <v>979</v>
      </c>
    </row>
    <row r="373" spans="15:16">
      <c r="O373" t="s">
        <v>791</v>
      </c>
      <c r="P373">
        <v>981</v>
      </c>
    </row>
    <row r="374" spans="15:16">
      <c r="O374" t="s">
        <v>792</v>
      </c>
      <c r="P374">
        <v>982</v>
      </c>
    </row>
    <row r="375" spans="15:16">
      <c r="O375" t="s">
        <v>793</v>
      </c>
      <c r="P375">
        <v>983</v>
      </c>
    </row>
  </sheetData>
  <sheetProtection password="DD67" sheet="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25</vt:i4>
      </vt:variant>
    </vt:vector>
  </HeadingPairs>
  <TitlesOfParts>
    <vt:vector size="30" baseType="lpstr">
      <vt:lpstr>託運清單</vt:lpstr>
      <vt:lpstr>託運清單(整段地址)</vt:lpstr>
      <vt:lpstr>包裹資費說明</vt:lpstr>
      <vt:lpstr>version</vt:lpstr>
      <vt:lpstr>工作表2</vt:lpstr>
      <vt:lpstr>宜蘭縣</vt:lpstr>
      <vt:lpstr>花蓮縣</vt:lpstr>
      <vt:lpstr>金門縣</vt:lpstr>
      <vt:lpstr>南投縣</vt:lpstr>
      <vt:lpstr>南海島</vt:lpstr>
      <vt:lpstr>屏東縣</vt:lpstr>
      <vt:lpstr>是否</vt:lpstr>
      <vt:lpstr>苗栗縣</vt:lpstr>
      <vt:lpstr>桃園市</vt:lpstr>
      <vt:lpstr>高雄市</vt:lpstr>
      <vt:lpstr>基隆市</vt:lpstr>
      <vt:lpstr>連江縣</vt:lpstr>
      <vt:lpstr>釣魚臺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臺中市</vt:lpstr>
      <vt:lpstr>臺北市</vt:lpstr>
      <vt:lpstr>臺東縣</vt:lpstr>
      <vt:lpstr>臺南市</vt:lpstr>
      <vt:lpstr>澎湖縣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</dc:creator>
  <cp:lastModifiedBy>707170謝青諭</cp:lastModifiedBy>
  <cp:lastPrinted>2021-12-10T01:41:36Z</cp:lastPrinted>
  <dcterms:created xsi:type="dcterms:W3CDTF">2018-03-16T07:52:11Z</dcterms:created>
  <dcterms:modified xsi:type="dcterms:W3CDTF">2026-04-23T07:32:27Z</dcterms:modified>
</cp:coreProperties>
</file>