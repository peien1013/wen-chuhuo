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ourcetree\POST_PSTNC2401\Source\WebApp\iBoxNew\BatchCreateSampleFile\"/>
    </mc:Choice>
  </mc:AlternateContent>
  <xr:revisionPtr revIDLastSave="0" documentId="13_ncr:1_{FF7BE65D-0DC2-46E4-8BB3-0A07FA043874}" xr6:coauthVersionLast="47" xr6:coauthVersionMax="47" xr10:uidLastSave="{00000000-0000-0000-0000-000000000000}"/>
  <workbookProtection workbookAlgorithmName="SHA-512" workbookHashValue="JkqkQHCamaZ/PPEKRW0lPtqS7o4zsKDAAtB1ZCvaoQpimaH0x6o+X6BaVpskELWSJOJZFKTcPc+mLKs5w0AdBA==" workbookSaltValue="c9cxEcr2FNuTdMexk7qXIg==" workbookSpinCount="100000" lockStructure="1"/>
  <bookViews>
    <workbookView xWindow="-110" yWindow="-110" windowWidth="19420" windowHeight="10300" tabRatio="508" xr2:uid="{0B565E7B-F58B-4FD6-838A-3C37434D1311}"/>
  </bookViews>
  <sheets>
    <sheet name="託運清單" sheetId="1" r:id="rId1"/>
    <sheet name="託運清單(整段地址)" sheetId="5" r:id="rId2"/>
    <sheet name="函件資費說明" sheetId="3" r:id="rId3"/>
    <sheet name="version" sheetId="4" state="hidden" r:id="rId4"/>
    <sheet name="工作表2" sheetId="2" state="hidden" r:id="rId5"/>
  </sheets>
  <definedNames>
    <definedName name="_xlnm._FilterDatabase" localSheetId="0" hidden="1">託運清單!$A$4:$V$204</definedName>
    <definedName name="_xlnm._FilterDatabase" localSheetId="1" hidden="1">'託運清單(整段地址)'!$A$4:$V$204</definedName>
    <definedName name="內容物">OFFSET(工作表2!$A$2,,,COUNTA(工作表2!$A:$A)-1,)</definedName>
    <definedName name="內容物Mapping">OFFSET(工作表2!$A$2,,,COUNTA(工作表2!$A:$A)-1,2)</definedName>
    <definedName name="未送達處理方式">OFFSET(工作表2!$F$2,,,COUNTA(工作表2!$F:$F)-1,)</definedName>
    <definedName name="未寄達處理方式Mapping">OFFSET(工作表2!$F$2,,,COUNTA(工作表2!$F:$F)-1,2)</definedName>
    <definedName name="地址類別">OFFSET(工作表2!$J$2,,,COUNTA(工作表2!$J:$J)-1,)</definedName>
    <definedName name="地址類別Mapping">OFFSET(工作表2!$J$2,,,COUNTA(工作表2!$J:$J)-1,2)</definedName>
    <definedName name="宜蘭縣">工作表2!$U$2:$U$14</definedName>
    <definedName name="花蓮縣">工作表2!$AJ$2:$AJ$14</definedName>
    <definedName name="金門縣">工作表2!$AL$2:$AL$7</definedName>
    <definedName name="南投縣">工作表2!$AB$2:$AB$14</definedName>
    <definedName name="南海島">工作表2!$AO$2:$AO$3</definedName>
    <definedName name="屏東縣">工作表2!$AH$2:$AH$41</definedName>
    <definedName name="是否">工作表2!$C$2:$C$3</definedName>
    <definedName name="苗栗縣">工作表2!$Y$2:$Y$19</definedName>
    <definedName name="桃園市">工作表2!$X$2:$X$14</definedName>
    <definedName name="高雄市">工作表2!$AG$2:$AG$41</definedName>
    <definedName name="國別">OFFSET(工作表2!#REF!,,,COUNTA(工作表2!#REF!)-1,)</definedName>
    <definedName name="國別MAPPING">OFFSET(工作表2!#REF!,,,COUNTA(工作表2!#REF!)-1,2)</definedName>
    <definedName name="基隆市">工作表2!$S$2:$S$8</definedName>
    <definedName name="連江縣">工作表2!$AM$2:$AM$5</definedName>
    <definedName name="釣魚臺">工作表2!$AN$2</definedName>
    <definedName name="郵件種類">OFFSET(工作表2!$H$2,,,COUNTA(工作表2!$H:$H)-1,)</definedName>
    <definedName name="郵件種類MAPPING">OFFSET(工作表2!$H$2,,,COUNTA(工作表2!$H:$H)-1,2)</definedName>
    <definedName name="郵遞區號">OFFSET(工作表2!$O$2,,,COUNTA(工作表2!$O:$O)-1,2)</definedName>
    <definedName name="雲林縣">工作表2!$AE$2:$AE$21</definedName>
    <definedName name="新北市">工作表2!$T$2:$T$30</definedName>
    <definedName name="新竹市">工作表2!$V$2:$V$4</definedName>
    <definedName name="新竹縣">工作表2!$W$2:$W$14</definedName>
    <definedName name="嘉義市">工作表2!$AC$2:$AC$3</definedName>
    <definedName name="嘉義縣">工作表2!$AD$2:$AD$19</definedName>
    <definedName name="彰化縣">工作表2!$AA$2:$AA$27</definedName>
    <definedName name="臺中市">工作表2!$Z$2:$Z$30</definedName>
    <definedName name="臺北市">工作表2!$R$2:$R$13</definedName>
    <definedName name="臺東縣">工作表2!$AI$2:$AI$17</definedName>
    <definedName name="臺南市">工作表2!$AF$2:$AF$38</definedName>
    <definedName name="澎湖縣">工作表2!$AK$2:$AK$7</definedName>
    <definedName name="箱袋種類">OFFSET(工作表2!$L$2,,,COUNTA(工作表2!$L:$L)-1,)</definedName>
    <definedName name="箱袋種類Mapping">OFFSET(工作表2!$L$2,,,COUNTA(工作表2!$L:$L)-1,2)</definedName>
    <definedName name="縣市">OFFSET(工作表2!$N$2,,,COUNTA(工作表2!$N:$N)-1,)</definedName>
    <definedName name="識別證類別">OFFSET(工作表2!$D$2,,,COUNTA(工作表2!$D:$D)-1,)</definedName>
    <definedName name="識別證類別MAPPING">OFFSET(工作表2!$D$2,,,COUNTA(工作表2!$D:$D)-1,2)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04" i="5" l="1"/>
  <c r="Y203" i="5"/>
  <c r="Y202" i="5"/>
  <c r="Y201" i="5"/>
  <c r="Y200" i="5"/>
  <c r="Y199" i="5"/>
  <c r="Y198" i="5"/>
  <c r="Y197" i="5"/>
  <c r="Y196" i="5"/>
  <c r="Y195" i="5"/>
  <c r="Y194" i="5"/>
  <c r="Y193" i="5"/>
  <c r="Y192" i="5"/>
  <c r="Y191" i="5"/>
  <c r="Y190" i="5"/>
  <c r="Y189" i="5"/>
  <c r="Y188" i="5"/>
  <c r="Y187" i="5"/>
  <c r="Y186" i="5"/>
  <c r="Y185" i="5"/>
  <c r="Y184" i="5"/>
  <c r="Y183" i="5"/>
  <c r="Y182" i="5"/>
  <c r="Y181" i="5"/>
  <c r="Y180" i="5"/>
  <c r="Y179" i="5"/>
  <c r="Y178" i="5"/>
  <c r="Y177" i="5"/>
  <c r="Y176" i="5"/>
  <c r="Y175" i="5"/>
  <c r="Y174" i="5"/>
  <c r="Y173" i="5"/>
  <c r="Y172" i="5"/>
  <c r="Y171" i="5"/>
  <c r="Y170" i="5"/>
  <c r="Y169" i="5"/>
  <c r="Y168" i="5"/>
  <c r="Y167" i="5"/>
  <c r="Y166" i="5"/>
  <c r="Y165" i="5"/>
  <c r="Y164" i="5"/>
  <c r="Y163" i="5"/>
  <c r="Y162" i="5"/>
  <c r="Y161" i="5"/>
  <c r="Y160" i="5"/>
  <c r="Y159" i="5"/>
  <c r="Y158" i="5"/>
  <c r="Y157" i="5"/>
  <c r="Y156" i="5"/>
  <c r="Y155" i="5"/>
  <c r="Y154" i="5"/>
  <c r="Y153" i="5"/>
  <c r="Y152" i="5"/>
  <c r="Y151" i="5"/>
  <c r="Y150" i="5"/>
  <c r="Y149" i="5"/>
  <c r="Y148" i="5"/>
  <c r="Y147" i="5"/>
  <c r="Y146" i="5"/>
  <c r="Y145" i="5"/>
  <c r="Y144" i="5"/>
  <c r="Y143" i="5"/>
  <c r="Y142" i="5"/>
  <c r="Y141" i="5"/>
  <c r="Y140" i="5"/>
  <c r="Y139" i="5"/>
  <c r="Y138" i="5"/>
  <c r="Y137" i="5"/>
  <c r="Y136" i="5"/>
  <c r="Y135" i="5"/>
  <c r="Y134" i="5"/>
  <c r="Y133" i="5"/>
  <c r="Y132" i="5"/>
  <c r="Y131" i="5"/>
  <c r="Y130" i="5"/>
  <c r="Y129" i="5"/>
  <c r="Y128" i="5"/>
  <c r="Y127" i="5"/>
  <c r="Y126" i="5"/>
  <c r="Y125" i="5"/>
  <c r="Y124" i="5"/>
  <c r="Y123" i="5"/>
  <c r="Y122" i="5"/>
  <c r="Y121" i="5"/>
  <c r="Y120" i="5"/>
  <c r="Y119" i="5"/>
  <c r="Y118" i="5"/>
  <c r="Y117" i="5"/>
  <c r="Y116" i="5"/>
  <c r="Y115" i="5"/>
  <c r="Y114" i="5"/>
  <c r="Y113" i="5"/>
  <c r="Y112" i="5"/>
  <c r="Y111" i="5"/>
  <c r="Y110" i="5"/>
  <c r="Y109" i="5"/>
  <c r="Y108" i="5"/>
  <c r="Y107" i="5"/>
  <c r="Y106" i="5"/>
  <c r="Y105" i="5"/>
  <c r="Y104" i="5"/>
  <c r="Y103" i="5"/>
  <c r="Y102" i="5"/>
  <c r="Y101" i="5"/>
  <c r="Y100" i="5"/>
  <c r="Y99" i="5"/>
  <c r="Y98" i="5"/>
  <c r="Y97" i="5"/>
  <c r="Y96" i="5"/>
  <c r="Y95" i="5"/>
  <c r="Y94" i="5"/>
  <c r="Y93" i="5"/>
  <c r="Y92" i="5"/>
  <c r="Y91" i="5"/>
  <c r="Y90" i="5"/>
  <c r="Y89" i="5"/>
  <c r="Y88" i="5"/>
  <c r="Y87" i="5"/>
  <c r="Y86" i="5"/>
  <c r="Y85" i="5"/>
  <c r="Y84" i="5"/>
  <c r="Y83" i="5"/>
  <c r="Y82" i="5"/>
  <c r="Y81" i="5"/>
  <c r="Y80" i="5"/>
  <c r="Y79" i="5"/>
  <c r="Y78" i="5"/>
  <c r="Y77" i="5"/>
  <c r="Y76" i="5"/>
  <c r="Y75" i="5"/>
  <c r="Y74" i="5"/>
  <c r="Y73" i="5"/>
  <c r="Y72" i="5"/>
  <c r="Y71" i="5"/>
  <c r="Y70" i="5"/>
  <c r="Y69" i="5"/>
  <c r="Y68" i="5"/>
  <c r="Y67" i="5"/>
  <c r="Y66" i="5"/>
  <c r="Y65" i="5"/>
  <c r="Y64" i="5"/>
  <c r="Y63" i="5"/>
  <c r="Y62" i="5"/>
  <c r="Y61" i="5"/>
  <c r="Y60" i="5"/>
  <c r="Y59" i="5"/>
  <c r="Y58" i="5"/>
  <c r="Y57" i="5"/>
  <c r="Y56" i="5"/>
  <c r="Y55" i="5"/>
  <c r="Y54" i="5"/>
  <c r="Y53" i="5"/>
  <c r="Y52" i="5"/>
  <c r="Y51" i="5"/>
  <c r="Y50" i="5"/>
  <c r="Y49" i="5"/>
  <c r="Y48" i="5"/>
  <c r="Y47" i="5"/>
  <c r="Y46" i="5"/>
  <c r="Y45" i="5"/>
  <c r="Y44" i="5"/>
  <c r="Y43" i="5"/>
  <c r="Y42" i="5"/>
  <c r="Y41" i="5"/>
  <c r="Y40" i="5"/>
  <c r="Y39" i="5"/>
  <c r="Y38" i="5"/>
  <c r="Y37" i="5"/>
  <c r="Y36" i="5"/>
  <c r="Y35" i="5"/>
  <c r="Y34" i="5"/>
  <c r="Y33" i="5"/>
  <c r="Y32" i="5"/>
  <c r="Y31" i="5"/>
  <c r="Y30" i="5"/>
  <c r="Y29" i="5"/>
  <c r="Y28" i="5"/>
  <c r="Y27" i="5"/>
  <c r="Y26" i="5"/>
  <c r="Y25" i="5"/>
  <c r="Y24" i="5"/>
  <c r="Y23" i="5"/>
  <c r="Y22" i="5"/>
  <c r="Y21" i="5"/>
  <c r="Y20" i="5"/>
  <c r="Y19" i="5"/>
  <c r="Y18" i="5"/>
  <c r="Y17" i="5"/>
  <c r="Y16" i="5"/>
  <c r="Y15" i="5"/>
  <c r="Y14" i="5"/>
  <c r="Y13" i="5"/>
  <c r="Y12" i="5"/>
  <c r="Y11" i="5"/>
  <c r="Y10" i="5"/>
  <c r="Y9" i="5"/>
  <c r="Y8" i="5"/>
  <c r="Y7" i="5"/>
  <c r="Y6" i="5"/>
  <c r="Y5" i="5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5" i="1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5" i="5"/>
  <c r="X204" i="5"/>
  <c r="W204" i="5"/>
  <c r="V204" i="5"/>
  <c r="U204" i="5"/>
  <c r="A204" i="5"/>
  <c r="X203" i="5"/>
  <c r="W203" i="5"/>
  <c r="V203" i="5"/>
  <c r="U203" i="5"/>
  <c r="A203" i="5"/>
  <c r="X202" i="5"/>
  <c r="W202" i="5"/>
  <c r="V202" i="5"/>
  <c r="U202" i="5"/>
  <c r="A202" i="5"/>
  <c r="X201" i="5"/>
  <c r="W201" i="5"/>
  <c r="V201" i="5"/>
  <c r="U201" i="5"/>
  <c r="A201" i="5"/>
  <c r="X200" i="5"/>
  <c r="W200" i="5"/>
  <c r="V200" i="5"/>
  <c r="U200" i="5"/>
  <c r="A200" i="5"/>
  <c r="X199" i="5"/>
  <c r="W199" i="5"/>
  <c r="V199" i="5"/>
  <c r="U199" i="5"/>
  <c r="A199" i="5"/>
  <c r="X198" i="5"/>
  <c r="W198" i="5"/>
  <c r="V198" i="5"/>
  <c r="U198" i="5"/>
  <c r="A198" i="5"/>
  <c r="X197" i="5"/>
  <c r="W197" i="5"/>
  <c r="V197" i="5"/>
  <c r="U197" i="5"/>
  <c r="A197" i="5"/>
  <c r="X196" i="5"/>
  <c r="W196" i="5"/>
  <c r="V196" i="5"/>
  <c r="U196" i="5"/>
  <c r="A196" i="5"/>
  <c r="X195" i="5"/>
  <c r="W195" i="5"/>
  <c r="V195" i="5"/>
  <c r="U195" i="5"/>
  <c r="A195" i="5"/>
  <c r="X194" i="5"/>
  <c r="W194" i="5"/>
  <c r="V194" i="5"/>
  <c r="U194" i="5"/>
  <c r="A194" i="5"/>
  <c r="X193" i="5"/>
  <c r="W193" i="5"/>
  <c r="V193" i="5"/>
  <c r="U193" i="5"/>
  <c r="A193" i="5"/>
  <c r="X192" i="5"/>
  <c r="W192" i="5"/>
  <c r="V192" i="5"/>
  <c r="U192" i="5"/>
  <c r="A192" i="5"/>
  <c r="X191" i="5"/>
  <c r="W191" i="5"/>
  <c r="V191" i="5"/>
  <c r="U191" i="5"/>
  <c r="A191" i="5"/>
  <c r="X190" i="5"/>
  <c r="W190" i="5"/>
  <c r="V190" i="5"/>
  <c r="U190" i="5"/>
  <c r="A190" i="5"/>
  <c r="X189" i="5"/>
  <c r="W189" i="5"/>
  <c r="V189" i="5"/>
  <c r="U189" i="5"/>
  <c r="A189" i="5"/>
  <c r="X188" i="5"/>
  <c r="W188" i="5"/>
  <c r="V188" i="5"/>
  <c r="U188" i="5"/>
  <c r="A188" i="5"/>
  <c r="X187" i="5"/>
  <c r="W187" i="5"/>
  <c r="V187" i="5"/>
  <c r="U187" i="5"/>
  <c r="A187" i="5"/>
  <c r="X186" i="5"/>
  <c r="W186" i="5"/>
  <c r="V186" i="5"/>
  <c r="U186" i="5"/>
  <c r="A186" i="5"/>
  <c r="X185" i="5"/>
  <c r="W185" i="5"/>
  <c r="V185" i="5"/>
  <c r="U185" i="5"/>
  <c r="A185" i="5"/>
  <c r="X184" i="5"/>
  <c r="W184" i="5"/>
  <c r="V184" i="5"/>
  <c r="U184" i="5"/>
  <c r="A184" i="5"/>
  <c r="X183" i="5"/>
  <c r="W183" i="5"/>
  <c r="V183" i="5"/>
  <c r="U183" i="5"/>
  <c r="A183" i="5"/>
  <c r="X182" i="5"/>
  <c r="W182" i="5"/>
  <c r="V182" i="5"/>
  <c r="U182" i="5"/>
  <c r="A182" i="5"/>
  <c r="X181" i="5"/>
  <c r="W181" i="5"/>
  <c r="V181" i="5"/>
  <c r="U181" i="5"/>
  <c r="A181" i="5"/>
  <c r="X180" i="5"/>
  <c r="W180" i="5"/>
  <c r="V180" i="5"/>
  <c r="U180" i="5"/>
  <c r="A180" i="5"/>
  <c r="X179" i="5"/>
  <c r="W179" i="5"/>
  <c r="V179" i="5"/>
  <c r="U179" i="5"/>
  <c r="A179" i="5"/>
  <c r="X178" i="5"/>
  <c r="W178" i="5"/>
  <c r="V178" i="5"/>
  <c r="U178" i="5"/>
  <c r="A178" i="5"/>
  <c r="X177" i="5"/>
  <c r="W177" i="5"/>
  <c r="V177" i="5"/>
  <c r="U177" i="5"/>
  <c r="A177" i="5"/>
  <c r="X176" i="5"/>
  <c r="W176" i="5"/>
  <c r="V176" i="5"/>
  <c r="U176" i="5"/>
  <c r="A176" i="5"/>
  <c r="X175" i="5"/>
  <c r="W175" i="5"/>
  <c r="V175" i="5"/>
  <c r="U175" i="5"/>
  <c r="A175" i="5"/>
  <c r="X174" i="5"/>
  <c r="W174" i="5"/>
  <c r="V174" i="5"/>
  <c r="U174" i="5"/>
  <c r="A174" i="5"/>
  <c r="X173" i="5"/>
  <c r="W173" i="5"/>
  <c r="V173" i="5"/>
  <c r="U173" i="5"/>
  <c r="A173" i="5"/>
  <c r="X172" i="5"/>
  <c r="W172" i="5"/>
  <c r="V172" i="5"/>
  <c r="U172" i="5"/>
  <c r="A172" i="5"/>
  <c r="X171" i="5"/>
  <c r="W171" i="5"/>
  <c r="V171" i="5"/>
  <c r="U171" i="5"/>
  <c r="A171" i="5"/>
  <c r="X170" i="5"/>
  <c r="W170" i="5"/>
  <c r="V170" i="5"/>
  <c r="U170" i="5"/>
  <c r="A170" i="5"/>
  <c r="X169" i="5"/>
  <c r="W169" i="5"/>
  <c r="V169" i="5"/>
  <c r="U169" i="5"/>
  <c r="A169" i="5"/>
  <c r="X168" i="5"/>
  <c r="W168" i="5"/>
  <c r="V168" i="5"/>
  <c r="U168" i="5"/>
  <c r="A168" i="5"/>
  <c r="X167" i="5"/>
  <c r="W167" i="5"/>
  <c r="V167" i="5"/>
  <c r="U167" i="5"/>
  <c r="A167" i="5"/>
  <c r="X166" i="5"/>
  <c r="W166" i="5"/>
  <c r="V166" i="5"/>
  <c r="U166" i="5"/>
  <c r="A166" i="5"/>
  <c r="X165" i="5"/>
  <c r="W165" i="5"/>
  <c r="V165" i="5"/>
  <c r="U165" i="5"/>
  <c r="A165" i="5"/>
  <c r="X164" i="5"/>
  <c r="W164" i="5"/>
  <c r="V164" i="5"/>
  <c r="U164" i="5"/>
  <c r="A164" i="5"/>
  <c r="X163" i="5"/>
  <c r="W163" i="5"/>
  <c r="V163" i="5"/>
  <c r="U163" i="5"/>
  <c r="A163" i="5"/>
  <c r="X162" i="5"/>
  <c r="W162" i="5"/>
  <c r="V162" i="5"/>
  <c r="U162" i="5"/>
  <c r="A162" i="5"/>
  <c r="X161" i="5"/>
  <c r="W161" i="5"/>
  <c r="V161" i="5"/>
  <c r="U161" i="5"/>
  <c r="A161" i="5"/>
  <c r="X160" i="5"/>
  <c r="W160" i="5"/>
  <c r="V160" i="5"/>
  <c r="U160" i="5"/>
  <c r="A160" i="5"/>
  <c r="X159" i="5"/>
  <c r="W159" i="5"/>
  <c r="V159" i="5"/>
  <c r="U159" i="5"/>
  <c r="A159" i="5"/>
  <c r="X158" i="5"/>
  <c r="W158" i="5"/>
  <c r="V158" i="5"/>
  <c r="U158" i="5"/>
  <c r="A158" i="5"/>
  <c r="X157" i="5"/>
  <c r="W157" i="5"/>
  <c r="V157" i="5"/>
  <c r="U157" i="5"/>
  <c r="A157" i="5"/>
  <c r="X156" i="5"/>
  <c r="W156" i="5"/>
  <c r="V156" i="5"/>
  <c r="U156" i="5"/>
  <c r="A156" i="5"/>
  <c r="X155" i="5"/>
  <c r="W155" i="5"/>
  <c r="V155" i="5"/>
  <c r="U155" i="5"/>
  <c r="A155" i="5"/>
  <c r="X154" i="5"/>
  <c r="W154" i="5"/>
  <c r="V154" i="5"/>
  <c r="U154" i="5"/>
  <c r="A154" i="5"/>
  <c r="X153" i="5"/>
  <c r="W153" i="5"/>
  <c r="V153" i="5"/>
  <c r="U153" i="5"/>
  <c r="A153" i="5"/>
  <c r="X152" i="5"/>
  <c r="W152" i="5"/>
  <c r="V152" i="5"/>
  <c r="U152" i="5"/>
  <c r="A152" i="5"/>
  <c r="X151" i="5"/>
  <c r="W151" i="5"/>
  <c r="V151" i="5"/>
  <c r="U151" i="5"/>
  <c r="A151" i="5"/>
  <c r="X150" i="5"/>
  <c r="W150" i="5"/>
  <c r="V150" i="5"/>
  <c r="U150" i="5"/>
  <c r="A150" i="5"/>
  <c r="X149" i="5"/>
  <c r="W149" i="5"/>
  <c r="V149" i="5"/>
  <c r="U149" i="5"/>
  <c r="A149" i="5"/>
  <c r="X148" i="5"/>
  <c r="W148" i="5"/>
  <c r="V148" i="5"/>
  <c r="U148" i="5"/>
  <c r="A148" i="5"/>
  <c r="X147" i="5"/>
  <c r="W147" i="5"/>
  <c r="V147" i="5"/>
  <c r="U147" i="5"/>
  <c r="A147" i="5"/>
  <c r="X146" i="5"/>
  <c r="W146" i="5"/>
  <c r="V146" i="5"/>
  <c r="U146" i="5"/>
  <c r="A146" i="5"/>
  <c r="X145" i="5"/>
  <c r="W145" i="5"/>
  <c r="V145" i="5"/>
  <c r="U145" i="5"/>
  <c r="A145" i="5"/>
  <c r="X144" i="5"/>
  <c r="W144" i="5"/>
  <c r="V144" i="5"/>
  <c r="U144" i="5"/>
  <c r="A144" i="5"/>
  <c r="X143" i="5"/>
  <c r="W143" i="5"/>
  <c r="V143" i="5"/>
  <c r="U143" i="5"/>
  <c r="A143" i="5"/>
  <c r="X142" i="5"/>
  <c r="W142" i="5"/>
  <c r="V142" i="5"/>
  <c r="U142" i="5"/>
  <c r="A142" i="5"/>
  <c r="X141" i="5"/>
  <c r="W141" i="5"/>
  <c r="V141" i="5"/>
  <c r="U141" i="5"/>
  <c r="A141" i="5"/>
  <c r="X140" i="5"/>
  <c r="W140" i="5"/>
  <c r="V140" i="5"/>
  <c r="U140" i="5"/>
  <c r="A140" i="5"/>
  <c r="X139" i="5"/>
  <c r="W139" i="5"/>
  <c r="V139" i="5"/>
  <c r="U139" i="5"/>
  <c r="A139" i="5"/>
  <c r="X138" i="5"/>
  <c r="W138" i="5"/>
  <c r="V138" i="5"/>
  <c r="U138" i="5"/>
  <c r="A138" i="5"/>
  <c r="X137" i="5"/>
  <c r="W137" i="5"/>
  <c r="V137" i="5"/>
  <c r="U137" i="5"/>
  <c r="A137" i="5"/>
  <c r="X136" i="5"/>
  <c r="W136" i="5"/>
  <c r="V136" i="5"/>
  <c r="U136" i="5"/>
  <c r="A136" i="5"/>
  <c r="X135" i="5"/>
  <c r="W135" i="5"/>
  <c r="V135" i="5"/>
  <c r="U135" i="5"/>
  <c r="A135" i="5"/>
  <c r="X134" i="5"/>
  <c r="W134" i="5"/>
  <c r="V134" i="5"/>
  <c r="U134" i="5"/>
  <c r="A134" i="5"/>
  <c r="X133" i="5"/>
  <c r="W133" i="5"/>
  <c r="V133" i="5"/>
  <c r="U133" i="5"/>
  <c r="A133" i="5"/>
  <c r="X132" i="5"/>
  <c r="W132" i="5"/>
  <c r="V132" i="5"/>
  <c r="U132" i="5"/>
  <c r="A132" i="5"/>
  <c r="X131" i="5"/>
  <c r="W131" i="5"/>
  <c r="V131" i="5"/>
  <c r="U131" i="5"/>
  <c r="A131" i="5"/>
  <c r="X130" i="5"/>
  <c r="W130" i="5"/>
  <c r="V130" i="5"/>
  <c r="U130" i="5"/>
  <c r="A130" i="5"/>
  <c r="X129" i="5"/>
  <c r="W129" i="5"/>
  <c r="V129" i="5"/>
  <c r="U129" i="5"/>
  <c r="A129" i="5"/>
  <c r="X128" i="5"/>
  <c r="W128" i="5"/>
  <c r="V128" i="5"/>
  <c r="U128" i="5"/>
  <c r="A128" i="5"/>
  <c r="X127" i="5"/>
  <c r="W127" i="5"/>
  <c r="V127" i="5"/>
  <c r="U127" i="5"/>
  <c r="A127" i="5"/>
  <c r="X126" i="5"/>
  <c r="W126" i="5"/>
  <c r="V126" i="5"/>
  <c r="U126" i="5"/>
  <c r="A126" i="5"/>
  <c r="X125" i="5"/>
  <c r="W125" i="5"/>
  <c r="V125" i="5"/>
  <c r="U125" i="5"/>
  <c r="A125" i="5"/>
  <c r="X124" i="5"/>
  <c r="W124" i="5"/>
  <c r="V124" i="5"/>
  <c r="U124" i="5"/>
  <c r="A124" i="5"/>
  <c r="X123" i="5"/>
  <c r="W123" i="5"/>
  <c r="V123" i="5"/>
  <c r="U123" i="5"/>
  <c r="A123" i="5"/>
  <c r="X122" i="5"/>
  <c r="W122" i="5"/>
  <c r="V122" i="5"/>
  <c r="U122" i="5"/>
  <c r="A122" i="5"/>
  <c r="X121" i="5"/>
  <c r="W121" i="5"/>
  <c r="V121" i="5"/>
  <c r="U121" i="5"/>
  <c r="A121" i="5"/>
  <c r="X120" i="5"/>
  <c r="W120" i="5"/>
  <c r="V120" i="5"/>
  <c r="U120" i="5"/>
  <c r="A120" i="5"/>
  <c r="X119" i="5"/>
  <c r="W119" i="5"/>
  <c r="V119" i="5"/>
  <c r="U119" i="5"/>
  <c r="A119" i="5"/>
  <c r="X118" i="5"/>
  <c r="W118" i="5"/>
  <c r="V118" i="5"/>
  <c r="U118" i="5"/>
  <c r="A118" i="5"/>
  <c r="X117" i="5"/>
  <c r="W117" i="5"/>
  <c r="V117" i="5"/>
  <c r="U117" i="5"/>
  <c r="A117" i="5"/>
  <c r="X116" i="5"/>
  <c r="W116" i="5"/>
  <c r="V116" i="5"/>
  <c r="U116" i="5"/>
  <c r="A116" i="5"/>
  <c r="X115" i="5"/>
  <c r="W115" i="5"/>
  <c r="V115" i="5"/>
  <c r="U115" i="5"/>
  <c r="A115" i="5"/>
  <c r="X114" i="5"/>
  <c r="W114" i="5"/>
  <c r="V114" i="5"/>
  <c r="U114" i="5"/>
  <c r="A114" i="5"/>
  <c r="X113" i="5"/>
  <c r="W113" i="5"/>
  <c r="V113" i="5"/>
  <c r="U113" i="5"/>
  <c r="A113" i="5"/>
  <c r="X112" i="5"/>
  <c r="W112" i="5"/>
  <c r="V112" i="5"/>
  <c r="U112" i="5"/>
  <c r="A112" i="5"/>
  <c r="X111" i="5"/>
  <c r="W111" i="5"/>
  <c r="V111" i="5"/>
  <c r="U111" i="5"/>
  <c r="A111" i="5"/>
  <c r="X110" i="5"/>
  <c r="W110" i="5"/>
  <c r="V110" i="5"/>
  <c r="U110" i="5"/>
  <c r="A110" i="5"/>
  <c r="X109" i="5"/>
  <c r="W109" i="5"/>
  <c r="V109" i="5"/>
  <c r="U109" i="5"/>
  <c r="A109" i="5"/>
  <c r="X108" i="5"/>
  <c r="W108" i="5"/>
  <c r="V108" i="5"/>
  <c r="U108" i="5"/>
  <c r="A108" i="5"/>
  <c r="X107" i="5"/>
  <c r="W107" i="5"/>
  <c r="V107" i="5"/>
  <c r="U107" i="5"/>
  <c r="A107" i="5"/>
  <c r="X106" i="5"/>
  <c r="W106" i="5"/>
  <c r="V106" i="5"/>
  <c r="U106" i="5"/>
  <c r="A106" i="5"/>
  <c r="X105" i="5"/>
  <c r="W105" i="5"/>
  <c r="V105" i="5"/>
  <c r="U105" i="5"/>
  <c r="A105" i="5"/>
  <c r="X104" i="5"/>
  <c r="W104" i="5"/>
  <c r="V104" i="5"/>
  <c r="U104" i="5"/>
  <c r="A104" i="5"/>
  <c r="X103" i="5"/>
  <c r="W103" i="5"/>
  <c r="V103" i="5"/>
  <c r="U103" i="5"/>
  <c r="A103" i="5"/>
  <c r="X102" i="5"/>
  <c r="W102" i="5"/>
  <c r="V102" i="5"/>
  <c r="U102" i="5"/>
  <c r="A102" i="5"/>
  <c r="X101" i="5"/>
  <c r="W101" i="5"/>
  <c r="V101" i="5"/>
  <c r="U101" i="5"/>
  <c r="A101" i="5"/>
  <c r="X100" i="5"/>
  <c r="W100" i="5"/>
  <c r="V100" i="5"/>
  <c r="U100" i="5"/>
  <c r="A100" i="5"/>
  <c r="X99" i="5"/>
  <c r="W99" i="5"/>
  <c r="V99" i="5"/>
  <c r="U99" i="5"/>
  <c r="A99" i="5"/>
  <c r="X98" i="5"/>
  <c r="W98" i="5"/>
  <c r="V98" i="5"/>
  <c r="U98" i="5"/>
  <c r="A98" i="5"/>
  <c r="X97" i="5"/>
  <c r="W97" i="5"/>
  <c r="V97" i="5"/>
  <c r="U97" i="5"/>
  <c r="A97" i="5"/>
  <c r="X96" i="5"/>
  <c r="W96" i="5"/>
  <c r="V96" i="5"/>
  <c r="U96" i="5"/>
  <c r="A96" i="5"/>
  <c r="X95" i="5"/>
  <c r="W95" i="5"/>
  <c r="V95" i="5"/>
  <c r="U95" i="5"/>
  <c r="A95" i="5"/>
  <c r="X94" i="5"/>
  <c r="W94" i="5"/>
  <c r="V94" i="5"/>
  <c r="U94" i="5"/>
  <c r="A94" i="5"/>
  <c r="X93" i="5"/>
  <c r="W93" i="5"/>
  <c r="V93" i="5"/>
  <c r="U93" i="5"/>
  <c r="A93" i="5"/>
  <c r="X92" i="5"/>
  <c r="W92" i="5"/>
  <c r="V92" i="5"/>
  <c r="U92" i="5"/>
  <c r="A92" i="5"/>
  <c r="X91" i="5"/>
  <c r="W91" i="5"/>
  <c r="V91" i="5"/>
  <c r="U91" i="5"/>
  <c r="A91" i="5"/>
  <c r="X90" i="5"/>
  <c r="W90" i="5"/>
  <c r="V90" i="5"/>
  <c r="U90" i="5"/>
  <c r="A90" i="5"/>
  <c r="X89" i="5"/>
  <c r="W89" i="5"/>
  <c r="V89" i="5"/>
  <c r="U89" i="5"/>
  <c r="A89" i="5"/>
  <c r="X88" i="5"/>
  <c r="W88" i="5"/>
  <c r="V88" i="5"/>
  <c r="U88" i="5"/>
  <c r="A88" i="5"/>
  <c r="X87" i="5"/>
  <c r="W87" i="5"/>
  <c r="V87" i="5"/>
  <c r="U87" i="5"/>
  <c r="A87" i="5"/>
  <c r="X86" i="5"/>
  <c r="W86" i="5"/>
  <c r="V86" i="5"/>
  <c r="U86" i="5"/>
  <c r="A86" i="5"/>
  <c r="X85" i="5"/>
  <c r="W85" i="5"/>
  <c r="V85" i="5"/>
  <c r="U85" i="5"/>
  <c r="A85" i="5"/>
  <c r="X84" i="5"/>
  <c r="W84" i="5"/>
  <c r="V84" i="5"/>
  <c r="U84" i="5"/>
  <c r="A84" i="5"/>
  <c r="X83" i="5"/>
  <c r="W83" i="5"/>
  <c r="V83" i="5"/>
  <c r="U83" i="5"/>
  <c r="A83" i="5"/>
  <c r="X82" i="5"/>
  <c r="W82" i="5"/>
  <c r="V82" i="5"/>
  <c r="U82" i="5"/>
  <c r="A82" i="5"/>
  <c r="X81" i="5"/>
  <c r="W81" i="5"/>
  <c r="V81" i="5"/>
  <c r="U81" i="5"/>
  <c r="A81" i="5"/>
  <c r="X80" i="5"/>
  <c r="W80" i="5"/>
  <c r="V80" i="5"/>
  <c r="U80" i="5"/>
  <c r="A80" i="5"/>
  <c r="X79" i="5"/>
  <c r="W79" i="5"/>
  <c r="V79" i="5"/>
  <c r="U79" i="5"/>
  <c r="A79" i="5"/>
  <c r="X78" i="5"/>
  <c r="W78" i="5"/>
  <c r="V78" i="5"/>
  <c r="U78" i="5"/>
  <c r="A78" i="5"/>
  <c r="X77" i="5"/>
  <c r="W77" i="5"/>
  <c r="V77" i="5"/>
  <c r="U77" i="5"/>
  <c r="A77" i="5"/>
  <c r="X76" i="5"/>
  <c r="W76" i="5"/>
  <c r="V76" i="5"/>
  <c r="U76" i="5"/>
  <c r="A76" i="5"/>
  <c r="X75" i="5"/>
  <c r="W75" i="5"/>
  <c r="V75" i="5"/>
  <c r="U75" i="5"/>
  <c r="A75" i="5"/>
  <c r="X74" i="5"/>
  <c r="W74" i="5"/>
  <c r="V74" i="5"/>
  <c r="U74" i="5"/>
  <c r="A74" i="5"/>
  <c r="X73" i="5"/>
  <c r="W73" i="5"/>
  <c r="V73" i="5"/>
  <c r="U73" i="5"/>
  <c r="A73" i="5"/>
  <c r="X72" i="5"/>
  <c r="W72" i="5"/>
  <c r="V72" i="5"/>
  <c r="U72" i="5"/>
  <c r="A72" i="5"/>
  <c r="X71" i="5"/>
  <c r="W71" i="5"/>
  <c r="V71" i="5"/>
  <c r="U71" i="5"/>
  <c r="A71" i="5"/>
  <c r="X70" i="5"/>
  <c r="W70" i="5"/>
  <c r="V70" i="5"/>
  <c r="U70" i="5"/>
  <c r="A70" i="5"/>
  <c r="X69" i="5"/>
  <c r="W69" i="5"/>
  <c r="V69" i="5"/>
  <c r="U69" i="5"/>
  <c r="A69" i="5"/>
  <c r="X68" i="5"/>
  <c r="W68" i="5"/>
  <c r="V68" i="5"/>
  <c r="U68" i="5"/>
  <c r="A68" i="5"/>
  <c r="X67" i="5"/>
  <c r="W67" i="5"/>
  <c r="V67" i="5"/>
  <c r="U67" i="5"/>
  <c r="A67" i="5"/>
  <c r="X66" i="5"/>
  <c r="W66" i="5"/>
  <c r="V66" i="5"/>
  <c r="U66" i="5"/>
  <c r="A66" i="5"/>
  <c r="X65" i="5"/>
  <c r="W65" i="5"/>
  <c r="V65" i="5"/>
  <c r="U65" i="5"/>
  <c r="A65" i="5"/>
  <c r="X64" i="5"/>
  <c r="W64" i="5"/>
  <c r="V64" i="5"/>
  <c r="U64" i="5"/>
  <c r="A64" i="5"/>
  <c r="X63" i="5"/>
  <c r="W63" i="5"/>
  <c r="V63" i="5"/>
  <c r="U63" i="5"/>
  <c r="A63" i="5"/>
  <c r="X62" i="5"/>
  <c r="W62" i="5"/>
  <c r="V62" i="5"/>
  <c r="U62" i="5"/>
  <c r="A62" i="5"/>
  <c r="X61" i="5"/>
  <c r="W61" i="5"/>
  <c r="V61" i="5"/>
  <c r="U61" i="5"/>
  <c r="A61" i="5"/>
  <c r="X60" i="5"/>
  <c r="W60" i="5"/>
  <c r="V60" i="5"/>
  <c r="U60" i="5"/>
  <c r="A60" i="5"/>
  <c r="X59" i="5"/>
  <c r="W59" i="5"/>
  <c r="V59" i="5"/>
  <c r="U59" i="5"/>
  <c r="A59" i="5"/>
  <c r="X58" i="5"/>
  <c r="W58" i="5"/>
  <c r="V58" i="5"/>
  <c r="U58" i="5"/>
  <c r="A58" i="5"/>
  <c r="X57" i="5"/>
  <c r="W57" i="5"/>
  <c r="V57" i="5"/>
  <c r="U57" i="5"/>
  <c r="A57" i="5"/>
  <c r="X56" i="5"/>
  <c r="W56" i="5"/>
  <c r="V56" i="5"/>
  <c r="U56" i="5"/>
  <c r="A56" i="5"/>
  <c r="X55" i="5"/>
  <c r="W55" i="5"/>
  <c r="V55" i="5"/>
  <c r="U55" i="5"/>
  <c r="A55" i="5"/>
  <c r="X54" i="5"/>
  <c r="W54" i="5"/>
  <c r="V54" i="5"/>
  <c r="U54" i="5"/>
  <c r="A54" i="5"/>
  <c r="X53" i="5"/>
  <c r="W53" i="5"/>
  <c r="V53" i="5"/>
  <c r="U53" i="5"/>
  <c r="A53" i="5"/>
  <c r="X52" i="5"/>
  <c r="W52" i="5"/>
  <c r="V52" i="5"/>
  <c r="U52" i="5"/>
  <c r="A52" i="5"/>
  <c r="X51" i="5"/>
  <c r="W51" i="5"/>
  <c r="V51" i="5"/>
  <c r="U51" i="5"/>
  <c r="A51" i="5"/>
  <c r="X50" i="5"/>
  <c r="W50" i="5"/>
  <c r="V50" i="5"/>
  <c r="U50" i="5"/>
  <c r="A50" i="5"/>
  <c r="X49" i="5"/>
  <c r="W49" i="5"/>
  <c r="V49" i="5"/>
  <c r="U49" i="5"/>
  <c r="A49" i="5"/>
  <c r="X48" i="5"/>
  <c r="W48" i="5"/>
  <c r="V48" i="5"/>
  <c r="U48" i="5"/>
  <c r="A48" i="5"/>
  <c r="X47" i="5"/>
  <c r="W47" i="5"/>
  <c r="V47" i="5"/>
  <c r="U47" i="5"/>
  <c r="A47" i="5"/>
  <c r="X46" i="5"/>
  <c r="W46" i="5"/>
  <c r="V46" i="5"/>
  <c r="U46" i="5"/>
  <c r="A46" i="5"/>
  <c r="X45" i="5"/>
  <c r="W45" i="5"/>
  <c r="V45" i="5"/>
  <c r="U45" i="5"/>
  <c r="A45" i="5"/>
  <c r="X44" i="5"/>
  <c r="W44" i="5"/>
  <c r="V44" i="5"/>
  <c r="U44" i="5"/>
  <c r="A44" i="5"/>
  <c r="X43" i="5"/>
  <c r="W43" i="5"/>
  <c r="V43" i="5"/>
  <c r="U43" i="5"/>
  <c r="A43" i="5"/>
  <c r="X42" i="5"/>
  <c r="W42" i="5"/>
  <c r="V42" i="5"/>
  <c r="U42" i="5"/>
  <c r="A42" i="5"/>
  <c r="X41" i="5"/>
  <c r="W41" i="5"/>
  <c r="V41" i="5"/>
  <c r="U41" i="5"/>
  <c r="A41" i="5"/>
  <c r="X40" i="5"/>
  <c r="W40" i="5"/>
  <c r="V40" i="5"/>
  <c r="U40" i="5"/>
  <c r="A40" i="5"/>
  <c r="X39" i="5"/>
  <c r="W39" i="5"/>
  <c r="V39" i="5"/>
  <c r="U39" i="5"/>
  <c r="A39" i="5"/>
  <c r="X38" i="5"/>
  <c r="W38" i="5"/>
  <c r="V38" i="5"/>
  <c r="U38" i="5"/>
  <c r="A38" i="5"/>
  <c r="X37" i="5"/>
  <c r="W37" i="5"/>
  <c r="V37" i="5"/>
  <c r="U37" i="5"/>
  <c r="A37" i="5"/>
  <c r="X36" i="5"/>
  <c r="W36" i="5"/>
  <c r="V36" i="5"/>
  <c r="U36" i="5"/>
  <c r="A36" i="5"/>
  <c r="X35" i="5"/>
  <c r="W35" i="5"/>
  <c r="V35" i="5"/>
  <c r="U35" i="5"/>
  <c r="A35" i="5"/>
  <c r="X34" i="5"/>
  <c r="W34" i="5"/>
  <c r="V34" i="5"/>
  <c r="U34" i="5"/>
  <c r="A34" i="5"/>
  <c r="X33" i="5"/>
  <c r="W33" i="5"/>
  <c r="V33" i="5"/>
  <c r="U33" i="5"/>
  <c r="A33" i="5"/>
  <c r="X32" i="5"/>
  <c r="W32" i="5"/>
  <c r="V32" i="5"/>
  <c r="U32" i="5"/>
  <c r="A32" i="5"/>
  <c r="X31" i="5"/>
  <c r="W31" i="5"/>
  <c r="V31" i="5"/>
  <c r="U31" i="5"/>
  <c r="A31" i="5"/>
  <c r="X30" i="5"/>
  <c r="W30" i="5"/>
  <c r="V30" i="5"/>
  <c r="U30" i="5"/>
  <c r="A30" i="5"/>
  <c r="X29" i="5"/>
  <c r="W29" i="5"/>
  <c r="V29" i="5"/>
  <c r="U29" i="5"/>
  <c r="A29" i="5"/>
  <c r="X28" i="5"/>
  <c r="W28" i="5"/>
  <c r="V28" i="5"/>
  <c r="U28" i="5"/>
  <c r="A28" i="5"/>
  <c r="X27" i="5"/>
  <c r="W27" i="5"/>
  <c r="V27" i="5"/>
  <c r="U27" i="5"/>
  <c r="A27" i="5"/>
  <c r="X26" i="5"/>
  <c r="W26" i="5"/>
  <c r="V26" i="5"/>
  <c r="U26" i="5"/>
  <c r="A26" i="5"/>
  <c r="X25" i="5"/>
  <c r="W25" i="5"/>
  <c r="V25" i="5"/>
  <c r="U25" i="5"/>
  <c r="A25" i="5"/>
  <c r="X24" i="5"/>
  <c r="W24" i="5"/>
  <c r="V24" i="5"/>
  <c r="U24" i="5"/>
  <c r="A24" i="5"/>
  <c r="X23" i="5"/>
  <c r="W23" i="5"/>
  <c r="V23" i="5"/>
  <c r="U23" i="5"/>
  <c r="A23" i="5"/>
  <c r="X22" i="5"/>
  <c r="W22" i="5"/>
  <c r="V22" i="5"/>
  <c r="U22" i="5"/>
  <c r="A22" i="5"/>
  <c r="X21" i="5"/>
  <c r="W21" i="5"/>
  <c r="V21" i="5"/>
  <c r="U21" i="5"/>
  <c r="A21" i="5"/>
  <c r="X20" i="5"/>
  <c r="W20" i="5"/>
  <c r="V20" i="5"/>
  <c r="U20" i="5"/>
  <c r="A20" i="5"/>
  <c r="X19" i="5"/>
  <c r="W19" i="5"/>
  <c r="V19" i="5"/>
  <c r="U19" i="5"/>
  <c r="A19" i="5"/>
  <c r="X18" i="5"/>
  <c r="W18" i="5"/>
  <c r="V18" i="5"/>
  <c r="U18" i="5"/>
  <c r="A18" i="5"/>
  <c r="X17" i="5"/>
  <c r="W17" i="5"/>
  <c r="V17" i="5"/>
  <c r="U17" i="5"/>
  <c r="A17" i="5"/>
  <c r="X16" i="5"/>
  <c r="W16" i="5"/>
  <c r="V16" i="5"/>
  <c r="U16" i="5"/>
  <c r="A16" i="5"/>
  <c r="X15" i="5"/>
  <c r="W15" i="5"/>
  <c r="V15" i="5"/>
  <c r="U15" i="5"/>
  <c r="A15" i="5"/>
  <c r="X14" i="5"/>
  <c r="W14" i="5"/>
  <c r="V14" i="5"/>
  <c r="U14" i="5"/>
  <c r="A14" i="5"/>
  <c r="X13" i="5"/>
  <c r="W13" i="5"/>
  <c r="V13" i="5"/>
  <c r="U13" i="5"/>
  <c r="A13" i="5"/>
  <c r="X12" i="5"/>
  <c r="W12" i="5"/>
  <c r="V12" i="5"/>
  <c r="U12" i="5"/>
  <c r="A12" i="5"/>
  <c r="X11" i="5"/>
  <c r="W11" i="5"/>
  <c r="V11" i="5"/>
  <c r="U11" i="5"/>
  <c r="A11" i="5"/>
  <c r="X10" i="5"/>
  <c r="W10" i="5"/>
  <c r="V10" i="5"/>
  <c r="U10" i="5"/>
  <c r="A10" i="5"/>
  <c r="X9" i="5"/>
  <c r="W9" i="5"/>
  <c r="V9" i="5"/>
  <c r="U9" i="5"/>
  <c r="A9" i="5"/>
  <c r="X8" i="5"/>
  <c r="W8" i="5"/>
  <c r="V8" i="5"/>
  <c r="U8" i="5"/>
  <c r="A8" i="5"/>
  <c r="X7" i="5"/>
  <c r="W7" i="5"/>
  <c r="V7" i="5"/>
  <c r="U7" i="5"/>
  <c r="A7" i="5"/>
  <c r="X6" i="5"/>
  <c r="W6" i="5"/>
  <c r="V6" i="5"/>
  <c r="U6" i="5"/>
  <c r="A6" i="5"/>
  <c r="X5" i="5"/>
  <c r="W5" i="5"/>
  <c r="V5" i="5"/>
  <c r="U5" i="5"/>
  <c r="A5" i="5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6" i="1"/>
  <c r="A7" i="1"/>
  <c r="A8" i="1"/>
  <c r="A9" i="1"/>
  <c r="A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Daisy</author>
    <author>PCadmin</author>
  </authors>
  <commentList>
    <comment ref="D4" authorId="0" shapeId="0" xr:uid="{79905F85-091B-4230-BCA8-F5C0C98DE6E3}">
      <text>
        <r>
          <rPr>
            <sz val="9"/>
            <color indexed="81"/>
            <rFont val="細明體"/>
            <family val="3"/>
            <charset val="136"/>
          </rPr>
          <t>請優先留存手機</t>
        </r>
      </text>
    </comment>
    <comment ref="I4" authorId="0" shapeId="0" xr:uid="{2DE6E715-FCC1-4999-98BF-8E08B7B20F4B}">
      <text>
        <r>
          <rPr>
            <sz val="9"/>
            <color indexed="81"/>
            <rFont val="細明體"/>
            <family val="3"/>
            <charset val="136"/>
          </rPr>
          <t>地址書寫格式範例
當寄達地址類型</t>
        </r>
        <r>
          <rPr>
            <sz val="9"/>
            <color indexed="81"/>
            <rFont val="Tahoma"/>
            <family val="2"/>
          </rPr>
          <t>=</t>
        </r>
        <r>
          <rPr>
            <b/>
            <sz val="9"/>
            <color indexed="81"/>
            <rFont val="Tahoma"/>
            <family val="2"/>
          </rPr>
          <t xml:space="preserve">i </t>
        </r>
        <r>
          <rPr>
            <b/>
            <sz val="9"/>
            <color indexed="81"/>
            <rFont val="細明體"/>
            <family val="3"/>
            <charset val="136"/>
          </rPr>
          <t>郵箱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細明體"/>
            <family val="3"/>
            <charset val="136"/>
          </rPr>
          <t>收件所在縣市</t>
        </r>
        <r>
          <rPr>
            <sz val="9"/>
            <color indexed="81"/>
            <rFont val="Tahoma"/>
            <family val="2"/>
          </rPr>
          <t>=</t>
        </r>
        <r>
          <rPr>
            <sz val="9"/>
            <color indexed="81"/>
            <rFont val="細明體"/>
            <family val="3"/>
            <charset val="136"/>
          </rPr>
          <t xml:space="preserve">台北市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細明體"/>
            <family val="3"/>
            <charset val="136"/>
          </rPr>
          <t>收件所在鄉鎮市區</t>
        </r>
        <r>
          <rPr>
            <sz val="9"/>
            <color indexed="81"/>
            <rFont val="Tahoma"/>
            <family val="2"/>
          </rPr>
          <t>=</t>
        </r>
        <r>
          <rPr>
            <sz val="9"/>
            <color indexed="81"/>
            <rFont val="細明體"/>
            <family val="3"/>
            <charset val="136"/>
          </rPr>
          <t xml:space="preserve">大安區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細明體"/>
            <family val="3"/>
            <charset val="136"/>
          </rPr>
          <t>收件地址</t>
        </r>
        <r>
          <rPr>
            <sz val="9"/>
            <color indexed="81"/>
            <rFont val="Tahoma"/>
            <family val="2"/>
          </rPr>
          <t>=</t>
        </r>
        <r>
          <rPr>
            <sz val="9"/>
            <color indexed="81"/>
            <rFont val="細明體"/>
            <family val="3"/>
            <charset val="136"/>
          </rPr>
          <t>臺北大安郵局</t>
        </r>
        <r>
          <rPr>
            <sz val="9"/>
            <color indexed="81"/>
            <rFont val="Tahoma"/>
            <family val="2"/>
          </rPr>
          <t xml:space="preserve"> i </t>
        </r>
        <r>
          <rPr>
            <sz val="9"/>
            <color indexed="81"/>
            <rFont val="細明體"/>
            <family val="3"/>
            <charset val="136"/>
          </rPr>
          <t>郵箱
當寄達地址類型</t>
        </r>
        <r>
          <rPr>
            <sz val="9"/>
            <color indexed="81"/>
            <rFont val="Tahoma"/>
            <family val="2"/>
          </rPr>
          <t>=</t>
        </r>
        <r>
          <rPr>
            <b/>
            <sz val="9"/>
            <color indexed="81"/>
            <rFont val="細明體"/>
            <family val="3"/>
            <charset val="136"/>
          </rPr>
          <t>郵政信箱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細明體"/>
            <family val="3"/>
            <charset val="136"/>
          </rPr>
          <t>收件所在縣市</t>
        </r>
        <r>
          <rPr>
            <sz val="9"/>
            <color indexed="81"/>
            <rFont val="Tahoma"/>
            <family val="2"/>
          </rPr>
          <t>=</t>
        </r>
        <r>
          <rPr>
            <sz val="9"/>
            <color indexed="81"/>
            <rFont val="細明體"/>
            <family val="3"/>
            <charset val="136"/>
          </rPr>
          <t xml:space="preserve">台北市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細明體"/>
            <family val="3"/>
            <charset val="136"/>
          </rPr>
          <t>收件所在鄉鎮市區</t>
        </r>
        <r>
          <rPr>
            <sz val="9"/>
            <color indexed="81"/>
            <rFont val="Tahoma"/>
            <family val="2"/>
          </rPr>
          <t>=</t>
        </r>
        <r>
          <rPr>
            <sz val="9"/>
            <color indexed="81"/>
            <rFont val="細明體"/>
            <family val="3"/>
            <charset val="136"/>
          </rPr>
          <t xml:space="preserve">大安區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細明體"/>
            <family val="3"/>
            <charset val="136"/>
          </rPr>
          <t>收件地址</t>
        </r>
        <r>
          <rPr>
            <sz val="9"/>
            <color indexed="81"/>
            <rFont val="Tahoma"/>
            <family val="2"/>
          </rPr>
          <t>=</t>
        </r>
        <r>
          <rPr>
            <sz val="9"/>
            <color indexed="81"/>
            <rFont val="細明體"/>
            <family val="3"/>
            <charset val="136"/>
          </rPr>
          <t>臺北北門郵局第○○號信箱
當寄達地址類型</t>
        </r>
        <r>
          <rPr>
            <sz val="9"/>
            <color indexed="81"/>
            <rFont val="Tahoma"/>
            <family val="2"/>
          </rPr>
          <t>=</t>
        </r>
        <r>
          <rPr>
            <b/>
            <sz val="9"/>
            <color indexed="81"/>
            <rFont val="細明體"/>
            <family val="3"/>
            <charset val="136"/>
          </rPr>
          <t>軍事特種信箱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細明體"/>
            <family val="3"/>
            <charset val="136"/>
          </rPr>
          <t>收件所在縣市</t>
        </r>
        <r>
          <rPr>
            <sz val="9"/>
            <color indexed="81"/>
            <rFont val="Tahoma"/>
            <family val="2"/>
          </rPr>
          <t>=</t>
        </r>
        <r>
          <rPr>
            <sz val="9"/>
            <color indexed="81"/>
            <rFont val="細明體"/>
            <family val="3"/>
            <charset val="136"/>
          </rPr>
          <t xml:space="preserve">台北市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細明體"/>
            <family val="3"/>
            <charset val="136"/>
          </rPr>
          <t>收件所在鄉鎮市區</t>
        </r>
        <r>
          <rPr>
            <sz val="9"/>
            <color indexed="81"/>
            <rFont val="Tahoma"/>
            <family val="2"/>
          </rPr>
          <t>=</t>
        </r>
        <r>
          <rPr>
            <sz val="9"/>
            <color indexed="81"/>
            <rFont val="細明體"/>
            <family val="3"/>
            <charset val="136"/>
          </rPr>
          <t xml:space="preserve">大安區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細明體"/>
            <family val="3"/>
            <charset val="136"/>
          </rPr>
          <t>收件地址</t>
        </r>
        <r>
          <rPr>
            <sz val="9"/>
            <color indexed="81"/>
            <rFont val="Tahoma"/>
            <family val="2"/>
          </rPr>
          <t>=</t>
        </r>
        <r>
          <rPr>
            <sz val="9"/>
            <color indexed="81"/>
            <rFont val="細明體"/>
            <family val="3"/>
            <charset val="136"/>
          </rPr>
          <t>左營郵政九○○○○附○○號信箱
當寄達地址類型</t>
        </r>
        <r>
          <rPr>
            <sz val="9"/>
            <color indexed="81"/>
            <rFont val="Tahoma"/>
            <family val="2"/>
          </rPr>
          <t>=</t>
        </r>
        <r>
          <rPr>
            <b/>
            <sz val="9"/>
            <color indexed="81"/>
            <rFont val="細明體"/>
            <family val="3"/>
            <charset val="136"/>
          </rPr>
          <t>存局候領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細明體"/>
            <family val="3"/>
            <charset val="136"/>
          </rPr>
          <t>收件所在縣市</t>
        </r>
        <r>
          <rPr>
            <sz val="9"/>
            <color indexed="81"/>
            <rFont val="Tahoma"/>
            <family val="2"/>
          </rPr>
          <t>=</t>
        </r>
        <r>
          <rPr>
            <sz val="9"/>
            <color indexed="81"/>
            <rFont val="細明體"/>
            <family val="3"/>
            <charset val="136"/>
          </rPr>
          <t xml:space="preserve">台北市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細明體"/>
            <family val="3"/>
            <charset val="136"/>
          </rPr>
          <t>收件所在鄉鎮市區</t>
        </r>
        <r>
          <rPr>
            <sz val="9"/>
            <color indexed="81"/>
            <rFont val="Tahoma"/>
            <family val="2"/>
          </rPr>
          <t>=</t>
        </r>
        <r>
          <rPr>
            <sz val="9"/>
            <color indexed="81"/>
            <rFont val="細明體"/>
            <family val="3"/>
            <charset val="136"/>
          </rPr>
          <t xml:space="preserve">大安區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細明體"/>
            <family val="3"/>
            <charset val="136"/>
          </rPr>
          <t>收件地址</t>
        </r>
        <r>
          <rPr>
            <sz val="9"/>
            <color indexed="81"/>
            <rFont val="Tahoma"/>
            <family val="2"/>
          </rPr>
          <t>=</t>
        </r>
        <r>
          <rPr>
            <sz val="9"/>
            <color indexed="81"/>
            <rFont val="細明體"/>
            <family val="3"/>
            <charset val="136"/>
          </rPr>
          <t>金南郵局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L4" authorId="0" shapeId="0" xr:uid="{EEA7BB97-2F32-4656-8BC8-687BDC1226D9}">
      <text>
        <r>
          <rPr>
            <b/>
            <sz val="9"/>
            <color indexed="57"/>
            <rFont val="細明體"/>
            <family val="3"/>
            <charset val="136"/>
          </rPr>
          <t>請優先留存手機</t>
        </r>
      </text>
    </comment>
    <comment ref="R4" authorId="1" shapeId="0" xr:uid="{2B7B6D52-6E5C-4991-99EA-62DBC16B7F7B}">
      <text>
        <r>
          <rPr>
            <sz val="9"/>
            <color indexed="81"/>
            <rFont val="細明體"/>
            <family val="3"/>
            <charset val="136"/>
          </rPr>
          <t>自備箱袋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信封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細明體"/>
            <family val="3"/>
            <charset val="136"/>
          </rPr>
          <t>或
選用便利箱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袋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細明體"/>
            <family val="3"/>
            <charset val="136"/>
          </rPr>
          <t>包</t>
        </r>
        <r>
          <rPr>
            <sz val="9"/>
            <color indexed="81"/>
            <rFont val="Tahoma"/>
            <family val="2"/>
          </rPr>
          <t>)</t>
        </r>
      </text>
    </comment>
    <comment ref="S4" authorId="0" shapeId="0" xr:uid="{BB02AC78-71C2-4154-835A-43805417C646}">
      <text>
        <r>
          <rPr>
            <sz val="9"/>
            <color indexed="81"/>
            <rFont val="細明體"/>
            <family val="3"/>
            <charset val="136"/>
          </rPr>
          <t>本報值服務僅提供裝取非法定紙幣，其報值金額新台幣每千元或其畸零數加收4元報值費(報值最高額為新台幣50,000元)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Daisy</author>
    <author>PCadmin</author>
  </authors>
  <commentList>
    <comment ref="D4" authorId="0" shapeId="0" xr:uid="{F25B9146-98EE-4394-845B-59ADCFF37E60}">
      <text>
        <r>
          <rPr>
            <sz val="9"/>
            <color indexed="81"/>
            <rFont val="細明體"/>
            <family val="3"/>
            <charset val="136"/>
          </rPr>
          <t>請優先留存手機</t>
        </r>
      </text>
    </comment>
    <comment ref="F4" authorId="0" shapeId="0" xr:uid="{DA526AB6-6D0B-4BFA-A5C7-F5FD72FEEC46}">
      <text>
        <r>
          <rPr>
            <sz val="9"/>
            <color indexed="81"/>
            <rFont val="細明體"/>
            <family val="3"/>
            <charset val="136"/>
          </rPr>
          <t>地址書寫格式範例
當寄達地址類型</t>
        </r>
        <r>
          <rPr>
            <b/>
            <sz val="9"/>
            <color indexed="81"/>
            <rFont val="細明體"/>
            <family val="3"/>
            <charset val="136"/>
          </rPr>
          <t>=i郵箱</t>
        </r>
        <r>
          <rPr>
            <sz val="9"/>
            <color indexed="81"/>
            <rFont val="細明體"/>
            <family val="3"/>
            <charset val="136"/>
          </rPr>
          <t xml:space="preserve">
  收件地址=台北市大安區臺北大安郵局 i 郵箱
當寄達地址類型</t>
        </r>
        <r>
          <rPr>
            <b/>
            <sz val="9"/>
            <color indexed="81"/>
            <rFont val="細明體"/>
            <family val="3"/>
            <charset val="136"/>
          </rPr>
          <t>=郵政信箱</t>
        </r>
        <r>
          <rPr>
            <sz val="9"/>
            <color indexed="81"/>
            <rFont val="細明體"/>
            <family val="3"/>
            <charset val="136"/>
          </rPr>
          <t xml:space="preserve">
  收件地址=台北市大安區臺北北門郵局第○○號信箱
當寄達地址類型</t>
        </r>
        <r>
          <rPr>
            <b/>
            <sz val="9"/>
            <color indexed="81"/>
            <rFont val="細明體"/>
            <family val="3"/>
            <charset val="136"/>
          </rPr>
          <t>=軍事特種信箱</t>
        </r>
        <r>
          <rPr>
            <sz val="9"/>
            <color indexed="81"/>
            <rFont val="細明體"/>
            <family val="3"/>
            <charset val="136"/>
          </rPr>
          <t xml:space="preserve">
  收件地址=台北市大安區左營郵政九○○○○附○○號信箱
當寄達地址類型</t>
        </r>
        <r>
          <rPr>
            <b/>
            <sz val="9"/>
            <color indexed="81"/>
            <rFont val="細明體"/>
            <family val="3"/>
            <charset val="136"/>
          </rPr>
          <t>=存局候領</t>
        </r>
        <r>
          <rPr>
            <sz val="9"/>
            <color indexed="81"/>
            <rFont val="細明體"/>
            <family val="3"/>
            <charset val="136"/>
          </rPr>
          <t xml:space="preserve">
  收件地址=台北市大安區金南郵局 </t>
        </r>
      </text>
    </comment>
    <comment ref="L4" authorId="0" shapeId="0" xr:uid="{EDA207BE-1E16-46AA-9241-0BE98C2FCD77}">
      <text>
        <r>
          <rPr>
            <b/>
            <sz val="9"/>
            <color indexed="57"/>
            <rFont val="細明體"/>
            <family val="3"/>
            <charset val="136"/>
          </rPr>
          <t>請優先留存手機</t>
        </r>
      </text>
    </comment>
    <comment ref="R4" authorId="1" shapeId="0" xr:uid="{AF41E625-F28E-4141-8B81-DE687DC83335}">
      <text>
        <r>
          <rPr>
            <sz val="9"/>
            <color indexed="81"/>
            <rFont val="細明體"/>
            <family val="3"/>
            <charset val="136"/>
          </rPr>
          <t>自備箱袋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信封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細明體"/>
            <family val="3"/>
            <charset val="136"/>
          </rPr>
          <t>或
選用便利箱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袋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細明體"/>
            <family val="3"/>
            <charset val="136"/>
          </rPr>
          <t>包</t>
        </r>
        <r>
          <rPr>
            <sz val="9"/>
            <color indexed="81"/>
            <rFont val="Tahoma"/>
            <family val="2"/>
          </rPr>
          <t>)</t>
        </r>
      </text>
    </comment>
    <comment ref="S4" authorId="0" shapeId="0" xr:uid="{EB668717-41ED-4253-A7A4-63E6AB47FBE0}">
      <text>
        <r>
          <rPr>
            <sz val="9"/>
            <color indexed="81"/>
            <rFont val="細明體"/>
            <family val="3"/>
            <charset val="136"/>
          </rPr>
          <t>本報值服務僅提供裝取非法定紙幣，其報值金額新台幣每千元或其畸零數加收4元報值費(報值最高額為新台幣50,000元)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<sst xmlns="http://schemas.openxmlformats.org/spreadsheetml/2006/main" count="1035" uniqueCount="933">
  <si>
    <t>內容物</t>
    <phoneticPr fontId="2" type="noConversion"/>
  </si>
  <si>
    <t>總重量
(kg)</t>
    <phoneticPr fontId="2" type="noConversion"/>
  </si>
  <si>
    <t>是否</t>
    <phoneticPr fontId="2" type="noConversion"/>
  </si>
  <si>
    <t>Y</t>
    <phoneticPr fontId="2" type="noConversion"/>
  </si>
  <si>
    <t>N</t>
    <phoneticPr fontId="2" type="noConversion"/>
  </si>
  <si>
    <t>MAIL_WEIGHT_TOTAL</t>
    <phoneticPr fontId="2" type="noConversion"/>
  </si>
  <si>
    <t>編號</t>
    <phoneticPr fontId="2" type="noConversion"/>
  </si>
  <si>
    <t>收件人
姓名</t>
    <phoneticPr fontId="2" type="noConversion"/>
  </si>
  <si>
    <t>ROW_NO</t>
    <phoneticPr fontId="2" type="noConversion"/>
  </si>
  <si>
    <t>證別證類別</t>
  </si>
  <si>
    <t>本國-身分證字號</t>
  </si>
  <si>
    <t>本國-公司統一編號</t>
  </si>
  <si>
    <t>外籍人士-統一證號</t>
  </si>
  <si>
    <t>外籍人士-居留證號</t>
  </si>
  <si>
    <t>外籍人士-護照號碼</t>
  </si>
  <si>
    <t>收件人
電話</t>
    <phoneticPr fontId="2" type="noConversion"/>
  </si>
  <si>
    <t>禮品</t>
  </si>
  <si>
    <t>食品</t>
  </si>
  <si>
    <t>零件</t>
  </si>
  <si>
    <t>貨樣</t>
  </si>
  <si>
    <t>書籍</t>
  </si>
  <si>
    <t>衣物</t>
  </si>
  <si>
    <t>藥品</t>
  </si>
  <si>
    <t>日用品</t>
  </si>
  <si>
    <t>002</t>
  </si>
  <si>
    <t>003</t>
  </si>
  <si>
    <t>宜蘭縣</t>
  </si>
  <si>
    <t>基隆市</t>
  </si>
  <si>
    <t>臺北市</t>
  </si>
  <si>
    <t>新北市</t>
  </si>
  <si>
    <t>桃園市</t>
  </si>
  <si>
    <t>新竹市</t>
  </si>
  <si>
    <t>新竹縣</t>
  </si>
  <si>
    <t>苗栗縣</t>
  </si>
  <si>
    <t>臺中市</t>
  </si>
  <si>
    <t>南投縣</t>
  </si>
  <si>
    <t>彰化縣</t>
  </si>
  <si>
    <t>雲林縣</t>
  </si>
  <si>
    <t>嘉義市</t>
  </si>
  <si>
    <t>嘉義縣</t>
  </si>
  <si>
    <t>臺南市</t>
  </si>
  <si>
    <t>高雄市</t>
  </si>
  <si>
    <t>屏東縣</t>
  </si>
  <si>
    <t>臺東縣</t>
  </si>
  <si>
    <t>花蓮縣</t>
  </si>
  <si>
    <t>澎湖縣</t>
  </si>
  <si>
    <t>金門縣</t>
  </si>
  <si>
    <t>連江縣</t>
  </si>
  <si>
    <t>釣魚臺</t>
  </si>
  <si>
    <t>南海島</t>
  </si>
  <si>
    <t>中正區</t>
  </si>
  <si>
    <t>大同區</t>
  </si>
  <si>
    <t>中山區</t>
  </si>
  <si>
    <t>松山區</t>
  </si>
  <si>
    <t>大安區</t>
  </si>
  <si>
    <t>萬華區</t>
  </si>
  <si>
    <t>信義區</t>
  </si>
  <si>
    <t>士林區</t>
  </si>
  <si>
    <t>北投區</t>
  </si>
  <si>
    <t>內湖區</t>
  </si>
  <si>
    <t>南港區</t>
  </si>
  <si>
    <t>文山區</t>
  </si>
  <si>
    <t>仁愛區</t>
  </si>
  <si>
    <t>安樂區</t>
  </si>
  <si>
    <t>暖暖區</t>
  </si>
  <si>
    <t>七堵區</t>
  </si>
  <si>
    <t>萬里區</t>
  </si>
  <si>
    <t>金山區</t>
  </si>
  <si>
    <t>南竿鄉</t>
  </si>
  <si>
    <t>北竿鄉</t>
  </si>
  <si>
    <t>莒光鄉</t>
  </si>
  <si>
    <t>東引鄉</t>
  </si>
  <si>
    <t>板橋區</t>
  </si>
  <si>
    <t>汐止區</t>
  </si>
  <si>
    <t>深坑區</t>
  </si>
  <si>
    <t>石碇區</t>
  </si>
  <si>
    <t>瑞芳區</t>
  </si>
  <si>
    <t>平溪區</t>
  </si>
  <si>
    <t>雙溪區</t>
  </si>
  <si>
    <t>貢寮區</t>
  </si>
  <si>
    <t>新店區</t>
  </si>
  <si>
    <t>坪林區</t>
  </si>
  <si>
    <t>烏來區</t>
  </si>
  <si>
    <t>永和區</t>
  </si>
  <si>
    <t>中和區</t>
  </si>
  <si>
    <t>土城區</t>
  </si>
  <si>
    <t>三峽區</t>
  </si>
  <si>
    <t>樹林區</t>
  </si>
  <si>
    <t>鶯歌區</t>
  </si>
  <si>
    <t>三重區</t>
  </si>
  <si>
    <t>新莊區</t>
  </si>
  <si>
    <t>泰山區</t>
  </si>
  <si>
    <t>林口區</t>
  </si>
  <si>
    <t>蘆洲區</t>
  </si>
  <si>
    <t>五股區</t>
  </si>
  <si>
    <t>八里區</t>
  </si>
  <si>
    <t>淡水區</t>
  </si>
  <si>
    <t>三芝區</t>
  </si>
  <si>
    <t>石門區</t>
  </si>
  <si>
    <t>宜蘭市</t>
  </si>
  <si>
    <t>頭城鎮</t>
  </si>
  <si>
    <t>礁溪鄉</t>
  </si>
  <si>
    <t>壯圍鄉</t>
  </si>
  <si>
    <t>員山鄉</t>
  </si>
  <si>
    <t>羅東鎮</t>
  </si>
  <si>
    <t>三星鄉</t>
  </si>
  <si>
    <t>大同鄉</t>
  </si>
  <si>
    <t>五結鄉</t>
  </si>
  <si>
    <t>冬山鄉</t>
  </si>
  <si>
    <t>蘇澳鎮</t>
  </si>
  <si>
    <t>南澳鄉</t>
  </si>
  <si>
    <t>東區</t>
  </si>
  <si>
    <t>北區</t>
  </si>
  <si>
    <t>竹北市</t>
  </si>
  <si>
    <t>湖口鄉</t>
  </si>
  <si>
    <t>新豐鄉</t>
  </si>
  <si>
    <t>新埔鎮</t>
  </si>
  <si>
    <t>關西鎮</t>
  </si>
  <si>
    <t>芎林鄉</t>
  </si>
  <si>
    <t>寶山鄉</t>
  </si>
  <si>
    <t>竹東鎮</t>
  </si>
  <si>
    <t>五峰鄉</t>
  </si>
  <si>
    <t>橫山鄉</t>
  </si>
  <si>
    <t>尖石鄉</t>
  </si>
  <si>
    <t>北埔鄉</t>
  </si>
  <si>
    <t>峨眉鄉</t>
  </si>
  <si>
    <t>中壢區</t>
  </si>
  <si>
    <t>平鎮區</t>
  </si>
  <si>
    <t>龍潭區</t>
  </si>
  <si>
    <t>楊梅區</t>
  </si>
  <si>
    <t>新屋區</t>
  </si>
  <si>
    <t>觀音區</t>
  </si>
  <si>
    <t>桃園區</t>
  </si>
  <si>
    <t>龜山區</t>
  </si>
  <si>
    <t>八德區</t>
  </si>
  <si>
    <t>大溪區</t>
  </si>
  <si>
    <t>復興區</t>
  </si>
  <si>
    <t>大園區</t>
  </si>
  <si>
    <t>蘆竹區</t>
  </si>
  <si>
    <t>竹南鎮</t>
  </si>
  <si>
    <t>頭份市</t>
  </si>
  <si>
    <t>三灣鄉</t>
  </si>
  <si>
    <t>南庄鄉</t>
  </si>
  <si>
    <t>獅潭鄉</t>
  </si>
  <si>
    <t>後龍鎮</t>
  </si>
  <si>
    <t>通霄鎮</t>
  </si>
  <si>
    <t>苑裡鎮</t>
  </si>
  <si>
    <t>苗栗市</t>
  </si>
  <si>
    <t>造橋鄉</t>
  </si>
  <si>
    <t>頭屋鄉</t>
  </si>
  <si>
    <t>公館鄉</t>
  </si>
  <si>
    <t>大湖鄉</t>
  </si>
  <si>
    <t>泰安鄉</t>
  </si>
  <si>
    <t>銅鑼鄉</t>
  </si>
  <si>
    <t>三義鄉</t>
  </si>
  <si>
    <t>西湖鄉</t>
  </si>
  <si>
    <t>卓蘭鎮</t>
  </si>
  <si>
    <t>中區</t>
  </si>
  <si>
    <t>南區</t>
  </si>
  <si>
    <t>西區</t>
  </si>
  <si>
    <t>北屯區</t>
  </si>
  <si>
    <t>西屯區</t>
  </si>
  <si>
    <t>南屯區</t>
  </si>
  <si>
    <t>太平區</t>
  </si>
  <si>
    <t>大里區</t>
  </si>
  <si>
    <t>霧峰區</t>
  </si>
  <si>
    <t>烏日區</t>
  </si>
  <si>
    <t>豐原區</t>
  </si>
  <si>
    <t>后里區</t>
  </si>
  <si>
    <t>石岡區</t>
  </si>
  <si>
    <t>東勢區</t>
  </si>
  <si>
    <t>和平區</t>
  </si>
  <si>
    <t>新社區</t>
  </si>
  <si>
    <t>潭子區</t>
  </si>
  <si>
    <t>大雅區</t>
  </si>
  <si>
    <t>神岡區</t>
  </si>
  <si>
    <t>大肚區</t>
  </si>
  <si>
    <t>沙鹿區</t>
  </si>
  <si>
    <t>龍井區</t>
  </si>
  <si>
    <t>梧棲區</t>
  </si>
  <si>
    <t>清水區</t>
  </si>
  <si>
    <t>大甲區</t>
  </si>
  <si>
    <t>外埔區</t>
  </si>
  <si>
    <t>彰化市</t>
  </si>
  <si>
    <t>芬園鄉</t>
  </si>
  <si>
    <t>花壇鄉</t>
  </si>
  <si>
    <t>秀水鄉</t>
  </si>
  <si>
    <t>鹿港鎮</t>
  </si>
  <si>
    <t>福興鄉</t>
  </si>
  <si>
    <t>線西鄉</t>
  </si>
  <si>
    <t>和美鎮</t>
  </si>
  <si>
    <t>伸港鄉</t>
  </si>
  <si>
    <t>員林市</t>
  </si>
  <si>
    <t>社頭鄉</t>
  </si>
  <si>
    <t>永靖鄉</t>
  </si>
  <si>
    <t>埔心鄉</t>
  </si>
  <si>
    <t>溪湖鎮</t>
  </si>
  <si>
    <t>大村鄉</t>
  </si>
  <si>
    <t>埔鹽鄉</t>
  </si>
  <si>
    <t>田中鎮</t>
  </si>
  <si>
    <t>北斗鎮</t>
  </si>
  <si>
    <t>田尾鄉</t>
  </si>
  <si>
    <t>埤頭鄉</t>
  </si>
  <si>
    <t>溪州鄉</t>
  </si>
  <si>
    <t>竹塘鄉</t>
  </si>
  <si>
    <t>二林鎮</t>
  </si>
  <si>
    <t>大城鄉</t>
  </si>
  <si>
    <t>芳苑鄉</t>
  </si>
  <si>
    <t>二水鄉</t>
  </si>
  <si>
    <t>南投市</t>
  </si>
  <si>
    <t>中寮鄉</t>
  </si>
  <si>
    <t>草屯鎮</t>
  </si>
  <si>
    <t>國姓鄉</t>
  </si>
  <si>
    <t>埔里鎮</t>
  </si>
  <si>
    <t>仁愛鄉</t>
  </si>
  <si>
    <t>名間鄉</t>
  </si>
  <si>
    <t>集集鎮</t>
  </si>
  <si>
    <t>水里鄉</t>
  </si>
  <si>
    <t>魚池鄉</t>
  </si>
  <si>
    <t>信義鄉</t>
  </si>
  <si>
    <t>竹山鎮</t>
  </si>
  <si>
    <t>鹿谷鄉</t>
  </si>
  <si>
    <t>番路鄉</t>
  </si>
  <si>
    <t>梅山鄉</t>
  </si>
  <si>
    <t>竹崎鄉</t>
  </si>
  <si>
    <t>阿里山鄉</t>
  </si>
  <si>
    <t>中埔鄉</t>
  </si>
  <si>
    <t>大埔鄉</t>
  </si>
  <si>
    <t>水上鄉</t>
  </si>
  <si>
    <t>鹿草鄉</t>
  </si>
  <si>
    <t>太保市</t>
  </si>
  <si>
    <t>朴子市</t>
  </si>
  <si>
    <t>東石鄉</t>
  </si>
  <si>
    <t>六腳鄉</t>
  </si>
  <si>
    <t>新港鄉</t>
  </si>
  <si>
    <t>民雄鄉</t>
  </si>
  <si>
    <t>大林鎮</t>
  </si>
  <si>
    <t>溪口鄉</t>
  </si>
  <si>
    <t>義竹鄉</t>
  </si>
  <si>
    <t>布袋鎮</t>
  </si>
  <si>
    <t>斗南鎮</t>
  </si>
  <si>
    <t>大埤鄉</t>
  </si>
  <si>
    <t>虎尾鎮</t>
  </si>
  <si>
    <t>土庫鎮</t>
  </si>
  <si>
    <t>褒忠鄉</t>
  </si>
  <si>
    <t>東勢鄉</t>
  </si>
  <si>
    <t>臺西鄉</t>
  </si>
  <si>
    <t>崙背鄉</t>
  </si>
  <si>
    <t>麥寮鄉</t>
  </si>
  <si>
    <t>斗六市</t>
  </si>
  <si>
    <t>林內鄉</t>
  </si>
  <si>
    <t>古坑鄉</t>
  </si>
  <si>
    <t>莿桐鄉</t>
  </si>
  <si>
    <t>西螺鎮</t>
  </si>
  <si>
    <t>二崙鄉</t>
  </si>
  <si>
    <t>北港鎮</t>
  </si>
  <si>
    <t>水林鄉</t>
  </si>
  <si>
    <t>口湖鄉</t>
  </si>
  <si>
    <t>四湖鄉</t>
  </si>
  <si>
    <t>元長鄉</t>
  </si>
  <si>
    <t>中西區</t>
  </si>
  <si>
    <t>安平區</t>
  </si>
  <si>
    <t>安南區</t>
  </si>
  <si>
    <t>永康區</t>
  </si>
  <si>
    <t>歸仁區</t>
  </si>
  <si>
    <t>新化區</t>
  </si>
  <si>
    <t>左鎮區</t>
  </si>
  <si>
    <t>玉井區</t>
  </si>
  <si>
    <t>楠西區</t>
  </si>
  <si>
    <t>南化區</t>
  </si>
  <si>
    <t>仁德區</t>
  </si>
  <si>
    <t>關廟區</t>
  </si>
  <si>
    <t>龍崎區</t>
  </si>
  <si>
    <t>官田區</t>
  </si>
  <si>
    <t>麻豆區</t>
  </si>
  <si>
    <t>佳里區</t>
  </si>
  <si>
    <t>西港區</t>
  </si>
  <si>
    <t>七股區</t>
  </si>
  <si>
    <t>將軍區</t>
  </si>
  <si>
    <t>學甲區</t>
  </si>
  <si>
    <t>北門區</t>
  </si>
  <si>
    <t>新營區</t>
  </si>
  <si>
    <t>後壁區</t>
  </si>
  <si>
    <t>白河區</t>
  </si>
  <si>
    <t>東山區</t>
  </si>
  <si>
    <t>六甲區</t>
  </si>
  <si>
    <t>下營區</t>
  </si>
  <si>
    <t>柳營區</t>
  </si>
  <si>
    <t>鹽水區</t>
  </si>
  <si>
    <t>善化區</t>
  </si>
  <si>
    <t>大內區</t>
  </si>
  <si>
    <t>山上區</t>
  </si>
  <si>
    <t>新市區</t>
  </si>
  <si>
    <t>安定區</t>
  </si>
  <si>
    <t>新興區</t>
  </si>
  <si>
    <t>前金區</t>
  </si>
  <si>
    <t>苓雅區</t>
  </si>
  <si>
    <t>鹽埕區</t>
  </si>
  <si>
    <t>鼓山區</t>
  </si>
  <si>
    <t>旗津區</t>
  </si>
  <si>
    <t>前鎮區</t>
  </si>
  <si>
    <t>三民區</t>
  </si>
  <si>
    <t>楠梓區</t>
  </si>
  <si>
    <t>小港區</t>
  </si>
  <si>
    <t>左營區</t>
  </si>
  <si>
    <t>仁武區</t>
  </si>
  <si>
    <t>大社區</t>
  </si>
  <si>
    <t>東沙群島</t>
  </si>
  <si>
    <t>南沙群島</t>
  </si>
  <si>
    <t>岡山區</t>
  </si>
  <si>
    <t>路竹區</t>
  </si>
  <si>
    <t>阿蓮區</t>
  </si>
  <si>
    <t>田寮區</t>
  </si>
  <si>
    <t>燕巢區</t>
  </si>
  <si>
    <t>橋頭區</t>
  </si>
  <si>
    <t>梓官區</t>
  </si>
  <si>
    <t>彌陀區</t>
  </si>
  <si>
    <t>永安區</t>
  </si>
  <si>
    <t>湖內區</t>
  </si>
  <si>
    <t>鳳山區</t>
  </si>
  <si>
    <t>大寮區</t>
  </si>
  <si>
    <t>林園區</t>
  </si>
  <si>
    <t>鳥松區</t>
  </si>
  <si>
    <t>大樹區</t>
  </si>
  <si>
    <t>旗山區</t>
  </si>
  <si>
    <t>美濃區</t>
  </si>
  <si>
    <t>六龜區</t>
  </si>
  <si>
    <t>內門區</t>
  </si>
  <si>
    <t>杉林區</t>
  </si>
  <si>
    <t>甲仙區</t>
  </si>
  <si>
    <t>桃源區</t>
  </si>
  <si>
    <t>那瑪夏區</t>
  </si>
  <si>
    <t>茂林區</t>
  </si>
  <si>
    <t>茄萣區</t>
  </si>
  <si>
    <t>馬公市</t>
  </si>
  <si>
    <t>西嶼鄉</t>
  </si>
  <si>
    <t>望安鄉</t>
  </si>
  <si>
    <t>七美鄉</t>
  </si>
  <si>
    <t>白沙鄉</t>
  </si>
  <si>
    <t>湖西鄉</t>
  </si>
  <si>
    <t>金沙鎮</t>
  </si>
  <si>
    <t>金湖鎮</t>
  </si>
  <si>
    <t>金寧鄉</t>
  </si>
  <si>
    <t>金城鎮</t>
  </si>
  <si>
    <t>烈嶼鄉</t>
  </si>
  <si>
    <t>烏坵鄉</t>
  </si>
  <si>
    <t>屏東市</t>
  </si>
  <si>
    <t>三地門鄉</t>
  </si>
  <si>
    <t>霧臺鄉</t>
  </si>
  <si>
    <t>瑪家鄉</t>
  </si>
  <si>
    <t>九如鄉</t>
  </si>
  <si>
    <t>里港鄉</t>
  </si>
  <si>
    <t>高樹鄉</t>
  </si>
  <si>
    <t>鹽埔鄉</t>
  </si>
  <si>
    <t>長治鄉</t>
  </si>
  <si>
    <t>麟洛鄉</t>
  </si>
  <si>
    <t>竹田鄉</t>
  </si>
  <si>
    <t>內埔鄉</t>
  </si>
  <si>
    <t>萬丹鄉</t>
  </si>
  <si>
    <t>潮州鎮</t>
  </si>
  <si>
    <t>泰武鄉</t>
  </si>
  <si>
    <t>來義鄉</t>
  </si>
  <si>
    <t>萬巒鄉</t>
  </si>
  <si>
    <t>崁頂鄉</t>
  </si>
  <si>
    <t>新埤鄉</t>
  </si>
  <si>
    <t>南州鄉</t>
  </si>
  <si>
    <t>林邊鄉</t>
  </si>
  <si>
    <t>東港鎮</t>
  </si>
  <si>
    <t>琉球鄉</t>
  </si>
  <si>
    <t>佳冬鄉</t>
  </si>
  <si>
    <t>新園鄉</t>
  </si>
  <si>
    <t>枋寮鄉</t>
  </si>
  <si>
    <t>枋山鄉</t>
  </si>
  <si>
    <t>春日鄉</t>
  </si>
  <si>
    <t>獅子鄉</t>
  </si>
  <si>
    <t>車城鄉</t>
  </si>
  <si>
    <t>牡丹鄉</t>
  </si>
  <si>
    <t>恆春鎮</t>
  </si>
  <si>
    <t>滿州鄉</t>
  </si>
  <si>
    <t>臺東市</t>
  </si>
  <si>
    <t>綠島鄉</t>
  </si>
  <si>
    <t>蘭嶼鄉</t>
  </si>
  <si>
    <t>延平鄉</t>
  </si>
  <si>
    <t>卑南鄉</t>
  </si>
  <si>
    <t>鹿野鄉</t>
  </si>
  <si>
    <t>關山鎮</t>
  </si>
  <si>
    <t>海端鄉</t>
  </si>
  <si>
    <t>池上鄉</t>
  </si>
  <si>
    <t>東河鄉</t>
  </si>
  <si>
    <t>成功鎮</t>
  </si>
  <si>
    <t>長濱鄉</t>
  </si>
  <si>
    <t>太麻里鄉</t>
  </si>
  <si>
    <t>金峰鄉</t>
  </si>
  <si>
    <t>大武鄉</t>
  </si>
  <si>
    <t>達仁鄉</t>
  </si>
  <si>
    <t>花蓮市</t>
  </si>
  <si>
    <t>新城鄉</t>
  </si>
  <si>
    <t>秀林鄉</t>
  </si>
  <si>
    <t>吉安鄉</t>
  </si>
  <si>
    <t>壽豐鄉</t>
  </si>
  <si>
    <t>鳳林鎮</t>
  </si>
  <si>
    <t>光復鄉</t>
  </si>
  <si>
    <t>豐濱鄉</t>
  </si>
  <si>
    <t>瑞穗鄉</t>
  </si>
  <si>
    <t>萬榮鄉</t>
  </si>
  <si>
    <t>玉里鎮</t>
  </si>
  <si>
    <t>卓溪鄉</t>
  </si>
  <si>
    <t>富里鄉</t>
  </si>
  <si>
    <t>縣市</t>
    <phoneticPr fontId="2" type="noConversion"/>
  </si>
  <si>
    <t>MAIL_RNAME</t>
    <phoneticPr fontId="2" type="noConversion"/>
  </si>
  <si>
    <t>MAIL_RADD_CITY</t>
    <phoneticPr fontId="2" type="noConversion"/>
  </si>
  <si>
    <t>MAIL_RADD_AREA</t>
    <phoneticPr fontId="2" type="noConversion"/>
  </si>
  <si>
    <t>MAIL_RADD_TYPE</t>
    <phoneticPr fontId="2" type="noConversion"/>
  </si>
  <si>
    <t>001</t>
    <phoneticPr fontId="2" type="noConversion"/>
  </si>
  <si>
    <t>退回寄件人(另付退回費)</t>
    <phoneticPr fontId="2" type="noConversion"/>
  </si>
  <si>
    <t>拋棄</t>
    <phoneticPr fontId="2" type="noConversion"/>
  </si>
  <si>
    <t>改投(另付資費)</t>
    <phoneticPr fontId="2" type="noConversion"/>
  </si>
  <si>
    <t>未送達處理方式</t>
    <phoneticPr fontId="2" type="noConversion"/>
  </si>
  <si>
    <t>郵件寄達地址類型</t>
    <phoneticPr fontId="2" type="noConversion"/>
  </si>
  <si>
    <t>收件人郵遞區號</t>
    <phoneticPr fontId="2" type="noConversion"/>
  </si>
  <si>
    <t>寄件人郵遞區號</t>
    <phoneticPr fontId="2" type="noConversion"/>
  </si>
  <si>
    <t>臺北市-中正區</t>
  </si>
  <si>
    <t>臺北市-大同區</t>
  </si>
  <si>
    <t>臺北市-中山區</t>
  </si>
  <si>
    <t>臺北市-松山區</t>
  </si>
  <si>
    <t>臺北市-大安區</t>
  </si>
  <si>
    <t>臺北市-萬華區</t>
  </si>
  <si>
    <t>臺北市-信義區</t>
  </si>
  <si>
    <t>臺北市-士林區</t>
  </si>
  <si>
    <t>臺北市-北投區</t>
  </si>
  <si>
    <t>臺北市-內湖區</t>
  </si>
  <si>
    <t>臺北市-南港區</t>
  </si>
  <si>
    <t>臺北市-文山區</t>
  </si>
  <si>
    <t>基隆市-仁愛區</t>
  </si>
  <si>
    <t>基隆市-信義區</t>
  </si>
  <si>
    <t>基隆市-中正區</t>
  </si>
  <si>
    <t>基隆市-中山區</t>
  </si>
  <si>
    <t>基隆市-安樂區</t>
  </si>
  <si>
    <t>基隆市-暖暖區</t>
  </si>
  <si>
    <t>基隆市-七堵區</t>
  </si>
  <si>
    <t>新北市-萬里區</t>
  </si>
  <si>
    <t>新北市-金山區</t>
  </si>
  <si>
    <t>連江縣-南竿鄉</t>
  </si>
  <si>
    <t>連江縣-北竿鄉</t>
  </si>
  <si>
    <t>連江縣-莒光鄉</t>
  </si>
  <si>
    <t>連江縣-東引鄉</t>
  </si>
  <si>
    <t>新北市-板橋區</t>
  </si>
  <si>
    <t>新北市-汐止區</t>
  </si>
  <si>
    <t>新北市-深坑區</t>
  </si>
  <si>
    <t>新北市-石碇區</t>
  </si>
  <si>
    <t>新北市-瑞芳區</t>
  </si>
  <si>
    <t>新北市-平溪區</t>
  </si>
  <si>
    <t>新北市-雙溪區</t>
  </si>
  <si>
    <t>新北市-貢寮區</t>
  </si>
  <si>
    <t>新北市-新店區</t>
  </si>
  <si>
    <t>新北市-坪林區</t>
  </si>
  <si>
    <t>新北市-烏來區</t>
  </si>
  <si>
    <t>新北市-永和區</t>
  </si>
  <si>
    <t>新北市-中和區</t>
  </si>
  <si>
    <t>新北市-土城區</t>
  </si>
  <si>
    <t>新北市-三峽區</t>
  </si>
  <si>
    <t>新北市-樹林區</t>
  </si>
  <si>
    <t>新北市-鶯歌區</t>
  </si>
  <si>
    <t>新北市-三重區</t>
  </si>
  <si>
    <t>新北市-新莊區</t>
  </si>
  <si>
    <t>新北市-泰山區</t>
  </si>
  <si>
    <t>新北市-林口區</t>
  </si>
  <si>
    <t>新北市-蘆洲區</t>
  </si>
  <si>
    <t>新北市-五股區</t>
  </si>
  <si>
    <t>新北市-八里區</t>
  </si>
  <si>
    <t>新北市-淡水區</t>
  </si>
  <si>
    <t>新北市-三芝區</t>
  </si>
  <si>
    <t>新北市-石門區</t>
  </si>
  <si>
    <t>宜蘭縣-宜蘭市</t>
  </si>
  <si>
    <t>宜蘭縣-頭城鎮</t>
  </si>
  <si>
    <t>宜蘭縣-礁溪鄉</t>
  </si>
  <si>
    <t>宜蘭縣-壯圍鄉</t>
  </si>
  <si>
    <t>宜蘭縣-員山鄉</t>
  </si>
  <si>
    <t>宜蘭縣-羅東鎮</t>
  </si>
  <si>
    <t>宜蘭縣-三星鄉</t>
  </si>
  <si>
    <t>宜蘭縣-大同鄉</t>
  </si>
  <si>
    <t>宜蘭縣-五結鄉</t>
  </si>
  <si>
    <t>宜蘭縣-冬山鄉</t>
  </si>
  <si>
    <t>宜蘭縣-蘇澳鎮</t>
  </si>
  <si>
    <t>宜蘭縣-南澳鄉</t>
  </si>
  <si>
    <t>宜蘭縣-釣魚臺</t>
  </si>
  <si>
    <t>釣魚臺-釣魚臺</t>
  </si>
  <si>
    <t>新竹市-東區</t>
  </si>
  <si>
    <t>新竹市-北區</t>
  </si>
  <si>
    <t>新竹市-香山區</t>
  </si>
  <si>
    <t>新竹縣-竹北市</t>
  </si>
  <si>
    <t>新竹縣-湖口鄉</t>
  </si>
  <si>
    <t>新竹縣-新豐鄉</t>
  </si>
  <si>
    <t>新竹縣-新埔鎮</t>
  </si>
  <si>
    <t>新竹縣-關西鎮</t>
  </si>
  <si>
    <t>新竹縣-芎林鄉</t>
  </si>
  <si>
    <t>新竹縣-寶山鄉</t>
  </si>
  <si>
    <t>新竹縣-竹東鎮</t>
  </si>
  <si>
    <t>新竹縣-五峰鄉</t>
  </si>
  <si>
    <t>新竹縣-橫山鄉</t>
  </si>
  <si>
    <t>新竹縣-尖石鄉</t>
  </si>
  <si>
    <t>新竹縣-北埔鄉</t>
  </si>
  <si>
    <t>新竹縣-峨眉鄉</t>
  </si>
  <si>
    <t>桃園市-中壢區</t>
  </si>
  <si>
    <t>桃園市-平鎮區</t>
  </si>
  <si>
    <t>桃園市-龍潭區</t>
  </si>
  <si>
    <t>桃園市-楊梅區</t>
  </si>
  <si>
    <t>桃園市-新屋區</t>
  </si>
  <si>
    <t>桃園市-觀音區</t>
  </si>
  <si>
    <t>桃園市-桃園區</t>
  </si>
  <si>
    <t>桃園市-龜山區</t>
  </si>
  <si>
    <t>桃園市-八德區</t>
  </si>
  <si>
    <t>桃園市-大溪區</t>
  </si>
  <si>
    <t>桃園市-復興區</t>
  </si>
  <si>
    <t>桃園市-大園區</t>
  </si>
  <si>
    <t>桃園市-蘆竹區</t>
  </si>
  <si>
    <t>苗栗縣-竹南鎮</t>
  </si>
  <si>
    <t>苗栗縣-頭份市</t>
  </si>
  <si>
    <t>苗栗縣-三灣鄉</t>
  </si>
  <si>
    <t>苗栗縣-南庄鄉</t>
  </si>
  <si>
    <t>苗栗縣-獅潭鄉</t>
  </si>
  <si>
    <t>苗栗縣-後龍鎮</t>
  </si>
  <si>
    <t>苗栗縣-通霄鎮</t>
  </si>
  <si>
    <t>苗栗縣-苑裡鎮</t>
  </si>
  <si>
    <t>苗栗縣-苗栗市</t>
  </si>
  <si>
    <t>苗栗縣-造橋鄉</t>
  </si>
  <si>
    <t>苗栗縣-頭屋鄉</t>
  </si>
  <si>
    <t>苗栗縣-公館鄉</t>
  </si>
  <si>
    <t>苗栗縣-大湖鄉</t>
  </si>
  <si>
    <t>苗栗縣-泰安鄉</t>
  </si>
  <si>
    <t>苗栗縣-銅鑼鄉</t>
  </si>
  <si>
    <t>苗栗縣-三義鄉</t>
  </si>
  <si>
    <t>苗栗縣-西湖鄉</t>
  </si>
  <si>
    <t>苗栗縣-卓蘭鎮</t>
  </si>
  <si>
    <t>臺中市-中區</t>
  </si>
  <si>
    <t>臺中市-東區</t>
  </si>
  <si>
    <t>臺中市-南區</t>
  </si>
  <si>
    <t>臺中市-西區</t>
  </si>
  <si>
    <t>臺中市-北區</t>
  </si>
  <si>
    <t>臺中市-北屯區</t>
  </si>
  <si>
    <t>臺中市-西屯區</t>
  </si>
  <si>
    <t>臺中市-南屯區</t>
  </si>
  <si>
    <t>臺中市-太平區</t>
  </si>
  <si>
    <t>臺中市-大里區</t>
  </si>
  <si>
    <t>臺中市-霧峰區</t>
  </si>
  <si>
    <t>臺中市-烏日區</t>
  </si>
  <si>
    <t>臺中市-豐原區</t>
  </si>
  <si>
    <t>臺中市-后里區</t>
  </si>
  <si>
    <t>臺中市-石岡區</t>
  </si>
  <si>
    <t>臺中市-東勢區</t>
  </si>
  <si>
    <t>臺中市-和平區</t>
  </si>
  <si>
    <t>臺中市-新社區</t>
  </si>
  <si>
    <t>臺中市-潭子區</t>
  </si>
  <si>
    <t>臺中市-大雅區</t>
  </si>
  <si>
    <t>臺中市-神岡區</t>
  </si>
  <si>
    <t>臺中市-大肚區</t>
  </si>
  <si>
    <t>臺中市-沙鹿區</t>
  </si>
  <si>
    <t>臺中市-龍井區</t>
  </si>
  <si>
    <t>臺中市-梧棲區</t>
  </si>
  <si>
    <t>臺中市-清水區</t>
  </si>
  <si>
    <t>臺中市-大甲區</t>
  </si>
  <si>
    <t>臺中市-外埔區</t>
  </si>
  <si>
    <t>臺中市-大安區</t>
  </si>
  <si>
    <t>彰化縣-彰化市</t>
  </si>
  <si>
    <t>彰化縣-芬園鄉</t>
  </si>
  <si>
    <t>彰化縣-花壇鄉</t>
  </si>
  <si>
    <t>彰化縣-秀水鄉</t>
  </si>
  <si>
    <t>彰化縣-鹿港鎮</t>
  </si>
  <si>
    <t>彰化縣-福興鄉</t>
  </si>
  <si>
    <t>彰化縣-線西鄉</t>
  </si>
  <si>
    <t>彰化縣-和美鎮</t>
  </si>
  <si>
    <t>彰化縣-伸港鄉</t>
  </si>
  <si>
    <t>彰化縣-員林市</t>
  </si>
  <si>
    <t>彰化縣-社頭鄉</t>
  </si>
  <si>
    <t>彰化縣-永靖鄉</t>
  </si>
  <si>
    <t>彰化縣-埔心鄉</t>
  </si>
  <si>
    <t>彰化縣-溪湖鎮</t>
  </si>
  <si>
    <t>彰化縣-大村鄉</t>
  </si>
  <si>
    <t>彰化縣-埔鹽鄉</t>
  </si>
  <si>
    <t>彰化縣-田中鎮</t>
  </si>
  <si>
    <t>彰化縣-北斗鎮</t>
  </si>
  <si>
    <t>彰化縣-田尾鄉</t>
  </si>
  <si>
    <t>彰化縣-埤頭鄉</t>
  </si>
  <si>
    <t>彰化縣-溪州鄉</t>
  </si>
  <si>
    <t>彰化縣-竹塘鄉</t>
  </si>
  <si>
    <t>彰化縣-二林鎮</t>
  </si>
  <si>
    <t>彰化縣-大城鄉</t>
  </si>
  <si>
    <t>彰化縣-芳苑鄉</t>
  </si>
  <si>
    <t>彰化縣-二水鄉</t>
  </si>
  <si>
    <t>南投縣-南投市</t>
  </si>
  <si>
    <t>南投縣-中寮鄉</t>
  </si>
  <si>
    <t>南投縣-草屯鎮</t>
  </si>
  <si>
    <t>南投縣-國姓鄉</t>
  </si>
  <si>
    <t>南投縣-埔里鎮</t>
  </si>
  <si>
    <t>南投縣-仁愛鄉</t>
  </si>
  <si>
    <t>南投縣-名間鄉</t>
  </si>
  <si>
    <t>南投縣-集集鎮</t>
  </si>
  <si>
    <t>南投縣-水里鄉</t>
  </si>
  <si>
    <t>南投縣-魚池鄉</t>
  </si>
  <si>
    <t>南投縣-信義鄉</t>
  </si>
  <si>
    <t>南投縣-竹山鎮</t>
  </si>
  <si>
    <t>南投縣-鹿谷鄉</t>
  </si>
  <si>
    <t>嘉義市-東區</t>
  </si>
  <si>
    <t>嘉義市-西區</t>
  </si>
  <si>
    <t>嘉義縣-番路鄉</t>
  </si>
  <si>
    <t>嘉義縣-梅山鄉</t>
  </si>
  <si>
    <t>嘉義縣-竹崎鄉</t>
  </si>
  <si>
    <t>嘉義縣-阿里山鄉</t>
  </si>
  <si>
    <t>嘉義縣-中埔鄉</t>
  </si>
  <si>
    <t>嘉義縣-大埔鄉</t>
  </si>
  <si>
    <t>嘉義縣-水上鄉</t>
  </si>
  <si>
    <t>嘉義縣-鹿草鄉</t>
  </si>
  <si>
    <t>嘉義縣-太保市</t>
  </si>
  <si>
    <t>嘉義縣-朴子市</t>
  </si>
  <si>
    <t>嘉義縣-東石鄉</t>
  </si>
  <si>
    <t>嘉義縣-六腳鄉</t>
  </si>
  <si>
    <t>嘉義縣-新港鄉</t>
  </si>
  <si>
    <t>嘉義縣-民雄鄉</t>
  </si>
  <si>
    <t>嘉義縣-大林鎮</t>
  </si>
  <si>
    <t>嘉義縣-溪口鄉</t>
  </si>
  <si>
    <t>嘉義縣-義竹鄉</t>
  </si>
  <si>
    <t>嘉義縣-布袋鎮</t>
  </si>
  <si>
    <t>雲林縣-斗南鎮</t>
  </si>
  <si>
    <t>雲林縣-大埤鄉</t>
  </si>
  <si>
    <t>雲林縣-虎尾鎮</t>
  </si>
  <si>
    <t>雲林縣-土庫鎮</t>
  </si>
  <si>
    <t>雲林縣-褒忠鄉</t>
  </si>
  <si>
    <t>雲林縣-東勢鄉</t>
  </si>
  <si>
    <t>雲林縣-臺西鄉</t>
  </si>
  <si>
    <t>雲林縣-崙背鄉</t>
  </si>
  <si>
    <t>雲林縣-麥寮鄉</t>
  </si>
  <si>
    <t>雲林縣-斗六市</t>
  </si>
  <si>
    <t>雲林縣-林內鄉</t>
  </si>
  <si>
    <t>雲林縣-古坑鄉</t>
  </si>
  <si>
    <t>雲林縣-莿桐鄉</t>
  </si>
  <si>
    <t>雲林縣-西螺鎮</t>
  </si>
  <si>
    <t>雲林縣-二崙鄉</t>
  </si>
  <si>
    <t>雲林縣-北港鎮</t>
  </si>
  <si>
    <t>雲林縣-水林鄉</t>
  </si>
  <si>
    <t>雲林縣-口湖鄉</t>
  </si>
  <si>
    <t>雲林縣-四湖鄉</t>
  </si>
  <si>
    <t>雲林縣-元長鄉</t>
  </si>
  <si>
    <t>臺南市-中西區</t>
  </si>
  <si>
    <t>臺南市-東區</t>
  </si>
  <si>
    <t>臺南市-南區</t>
  </si>
  <si>
    <t>臺南市-北區</t>
  </si>
  <si>
    <t>臺南市-安平區</t>
  </si>
  <si>
    <t>臺南市-安南區</t>
  </si>
  <si>
    <t>臺南市-永康區</t>
  </si>
  <si>
    <t>臺南市-歸仁區</t>
  </si>
  <si>
    <t>臺南市-新化區</t>
  </si>
  <si>
    <t>臺南市-左鎮區</t>
  </si>
  <si>
    <t>臺南市-玉井區</t>
  </si>
  <si>
    <t>臺南市-楠西區</t>
  </si>
  <si>
    <t>臺南市-南化區</t>
  </si>
  <si>
    <t>臺南市-仁德區</t>
  </si>
  <si>
    <t>臺南市-關廟區</t>
  </si>
  <si>
    <t>臺南市-龍崎區</t>
  </si>
  <si>
    <t>臺南市-官田區</t>
  </si>
  <si>
    <t>臺南市-麻豆區</t>
  </si>
  <si>
    <t>臺南市-佳里區</t>
  </si>
  <si>
    <t>臺南市-西港區</t>
  </si>
  <si>
    <t>臺南市-七股區</t>
  </si>
  <si>
    <t>臺南市-將軍區</t>
  </si>
  <si>
    <t>臺南市-學甲區</t>
  </si>
  <si>
    <t>臺南市-北門區</t>
  </si>
  <si>
    <t>臺南市-新營區</t>
  </si>
  <si>
    <t>臺南市-後壁區</t>
  </si>
  <si>
    <t>臺南市-白河區</t>
  </si>
  <si>
    <t>臺南市-東山區</t>
  </si>
  <si>
    <t>臺南市-六甲區</t>
  </si>
  <si>
    <t>臺南市-下營區</t>
  </si>
  <si>
    <t>臺南市-柳營區</t>
  </si>
  <si>
    <t>臺南市-鹽水區</t>
  </si>
  <si>
    <t>臺南市-善化區</t>
  </si>
  <si>
    <t>臺南市-大內區</t>
  </si>
  <si>
    <t>臺南市-山上區</t>
  </si>
  <si>
    <t>臺南市-新市區</t>
  </si>
  <si>
    <t>臺南市-安定區</t>
  </si>
  <si>
    <t>高雄市-新興區</t>
  </si>
  <si>
    <t>高雄市-前金區</t>
  </si>
  <si>
    <t>高雄市-苓雅區</t>
  </si>
  <si>
    <t>高雄市-鹽埕區</t>
  </si>
  <si>
    <t>高雄市-鼓山區</t>
  </si>
  <si>
    <t>高雄市-旗津區</t>
  </si>
  <si>
    <t>高雄市-前鎮區</t>
  </si>
  <si>
    <t>高雄市-三民區</t>
  </si>
  <si>
    <t>高雄市-楠梓區</t>
  </si>
  <si>
    <t>高雄市-小港區</t>
  </si>
  <si>
    <t>高雄市-左營區</t>
  </si>
  <si>
    <t>高雄市-仁武區</t>
  </si>
  <si>
    <t>高雄市-大社區</t>
  </si>
  <si>
    <t>高雄市-東沙群島</t>
  </si>
  <si>
    <t>高雄市-南沙群島</t>
  </si>
  <si>
    <t>南海島-東沙群島</t>
  </si>
  <si>
    <t>南海島-南沙群島</t>
  </si>
  <si>
    <t>高雄市-岡山區</t>
  </si>
  <si>
    <t>高雄市-路竹區</t>
  </si>
  <si>
    <t>高雄市-阿蓮區</t>
  </si>
  <si>
    <t>高雄市-田寮區</t>
  </si>
  <si>
    <t>高雄市-燕巢區</t>
  </si>
  <si>
    <t>高雄市-橋頭區</t>
  </si>
  <si>
    <t>高雄市-梓官區</t>
  </si>
  <si>
    <t>高雄市-彌陀區</t>
  </si>
  <si>
    <t>高雄市-永安區</t>
  </si>
  <si>
    <t>高雄市-湖內區</t>
  </si>
  <si>
    <t>高雄市-鳳山區</t>
  </si>
  <si>
    <t>高雄市-大寮區</t>
  </si>
  <si>
    <t>高雄市-林園區</t>
  </si>
  <si>
    <t>高雄市-鳥松區</t>
  </si>
  <si>
    <t>高雄市-大樹區</t>
  </si>
  <si>
    <t>高雄市-旗山區</t>
  </si>
  <si>
    <t>高雄市-美濃區</t>
  </si>
  <si>
    <t>高雄市-六龜區</t>
  </si>
  <si>
    <t>高雄市-內門區</t>
  </si>
  <si>
    <t>高雄市-杉林區</t>
  </si>
  <si>
    <t>高雄市-甲仙區</t>
  </si>
  <si>
    <t>高雄市-桃源區</t>
  </si>
  <si>
    <t>高雄市-那瑪夏區</t>
  </si>
  <si>
    <t>高雄市-茂林區</t>
  </si>
  <si>
    <t>高雄市-茄萣區</t>
  </si>
  <si>
    <t>澎湖縣-馬公市</t>
  </si>
  <si>
    <t>澎湖縣-西嶼鄉</t>
  </si>
  <si>
    <t>澎湖縣-望安鄉</t>
  </si>
  <si>
    <t>澎湖縣-七美鄉</t>
  </si>
  <si>
    <t>澎湖縣-白沙鄉</t>
  </si>
  <si>
    <t>澎湖縣-湖西鄉</t>
  </si>
  <si>
    <t>金門縣-金沙鎮</t>
  </si>
  <si>
    <t>金門縣-金湖鎮</t>
  </si>
  <si>
    <t>金門縣-金寧鄉</t>
  </si>
  <si>
    <t>金門縣-金城鎮</t>
  </si>
  <si>
    <t>金門縣-烈嶼鄉</t>
  </si>
  <si>
    <t>金門縣-烏坵鄉</t>
  </si>
  <si>
    <t>屏東縣-屏東市</t>
  </si>
  <si>
    <t>屏東縣-三地門鄉</t>
  </si>
  <si>
    <t>屏東縣-霧臺鄉</t>
  </si>
  <si>
    <t>屏東縣-瑪家鄉</t>
  </si>
  <si>
    <t>屏東縣-九如鄉</t>
  </si>
  <si>
    <t>屏東縣-里港鄉</t>
  </si>
  <si>
    <t>屏東縣-高樹鄉</t>
  </si>
  <si>
    <t>屏東縣-鹽埔鄉</t>
  </si>
  <si>
    <t>屏東縣-長治鄉</t>
  </si>
  <si>
    <t>屏東縣-麟洛鄉</t>
  </si>
  <si>
    <t>屏東縣-竹田鄉</t>
  </si>
  <si>
    <t>屏東縣-內埔鄉</t>
  </si>
  <si>
    <t>屏東縣-萬丹鄉</t>
  </si>
  <si>
    <t>屏東縣-潮州鎮</t>
  </si>
  <si>
    <t>屏東縣-泰武鄉</t>
  </si>
  <si>
    <t>屏東縣-來義鄉</t>
  </si>
  <si>
    <t>屏東縣-萬巒鄉</t>
  </si>
  <si>
    <t>屏東縣-崁頂鄉</t>
  </si>
  <si>
    <t>屏東縣-新埤鄉</t>
  </si>
  <si>
    <t>屏東縣-南州鄉</t>
  </si>
  <si>
    <t>屏東縣-林邊鄉</t>
  </si>
  <si>
    <t>屏東縣-東港鎮</t>
  </si>
  <si>
    <t>屏東縣-琉球鄉</t>
  </si>
  <si>
    <t>屏東縣-佳冬鄉</t>
  </si>
  <si>
    <t>屏東縣-新園鄉</t>
  </si>
  <si>
    <t>屏東縣-枋寮鄉</t>
  </si>
  <si>
    <t>屏東縣-枋山鄉</t>
  </si>
  <si>
    <t>屏東縣-春日鄉</t>
  </si>
  <si>
    <t>屏東縣-獅子鄉</t>
  </si>
  <si>
    <t>屏東縣-車城鄉</t>
  </si>
  <si>
    <t>屏東縣-牡丹鄉</t>
  </si>
  <si>
    <t>屏東縣-恆春鎮</t>
  </si>
  <si>
    <t>屏東縣-滿州鄉</t>
  </si>
  <si>
    <t>臺東縣-臺東市</t>
  </si>
  <si>
    <t>臺東縣-綠島鄉</t>
  </si>
  <si>
    <t>臺東縣-蘭嶼鄉</t>
  </si>
  <si>
    <t>臺東縣-延平鄉</t>
  </si>
  <si>
    <t>臺東縣-卑南鄉</t>
  </si>
  <si>
    <t>臺東縣-鹿野鄉</t>
  </si>
  <si>
    <t>臺東縣-關山鎮</t>
  </si>
  <si>
    <t>臺東縣-海端鄉</t>
  </si>
  <si>
    <t>臺東縣-池上鄉</t>
  </si>
  <si>
    <t>臺東縣-東河鄉</t>
  </si>
  <si>
    <t>臺東縣-成功鎮</t>
  </si>
  <si>
    <t>臺東縣-長濱鄉</t>
  </si>
  <si>
    <t>臺東縣-太麻里鄉</t>
  </si>
  <si>
    <t>臺東縣-金峰鄉</t>
  </si>
  <si>
    <t>臺東縣-大武鄉</t>
  </si>
  <si>
    <t>臺東縣-達仁鄉</t>
  </si>
  <si>
    <t>花蓮縣-花蓮市</t>
  </si>
  <si>
    <t>花蓮縣-新城鄉</t>
  </si>
  <si>
    <t>花蓮縣-秀林鄉</t>
  </si>
  <si>
    <t>花蓮縣-吉安鄉</t>
  </si>
  <si>
    <t>花蓮縣-壽豐鄉</t>
  </si>
  <si>
    <t>花蓮縣-鳳林鎮</t>
  </si>
  <si>
    <t>花蓮縣-光復鄉</t>
  </si>
  <si>
    <t>花蓮縣-豐濱鄉</t>
  </si>
  <si>
    <t>花蓮縣-瑞穗鄉</t>
  </si>
  <si>
    <t>花蓮縣-萬榮鄉</t>
  </si>
  <si>
    <t>花蓮縣-玉里鎮</t>
  </si>
  <si>
    <t>花蓮縣-卓溪鄉</t>
  </si>
  <si>
    <t>花蓮縣-富里鄉</t>
  </si>
  <si>
    <t>郵遞區號</t>
    <phoneticPr fontId="2" type="noConversion"/>
  </si>
  <si>
    <t>MAIL_SADD_ZIP</t>
    <phoneticPr fontId="2" type="noConversion"/>
  </si>
  <si>
    <t>MAIL_RADD_ZIP</t>
    <phoneticPr fontId="2" type="noConversion"/>
  </si>
  <si>
    <t>MAIL_RADD_OTHER</t>
    <phoneticPr fontId="2" type="noConversion"/>
  </si>
  <si>
    <t>A</t>
  </si>
  <si>
    <t>B</t>
    <phoneticPr fontId="2" type="noConversion"/>
  </si>
  <si>
    <t>其他</t>
    <phoneticPr fontId="2" type="noConversion"/>
  </si>
  <si>
    <t>VALUE_DECLARED_AMOUNT</t>
    <phoneticPr fontId="2" type="noConversion"/>
  </si>
  <si>
    <t>MAIL_RADD_ROAD</t>
    <phoneticPr fontId="2" type="noConversion"/>
  </si>
  <si>
    <t>空白文件</t>
    <phoneticPr fontId="2" type="noConversion"/>
  </si>
  <si>
    <t>函件種類</t>
    <phoneticPr fontId="2" type="noConversion"/>
  </si>
  <si>
    <t>自備箱袋或
選用便利箱(袋)(包)</t>
    <phoneticPr fontId="2" type="noConversion"/>
  </si>
  <si>
    <t>MAIL_SUBTYPE</t>
    <phoneticPr fontId="2" type="noConversion"/>
  </si>
  <si>
    <t>郵件種類</t>
    <phoneticPr fontId="2" type="noConversion"/>
  </si>
  <si>
    <t>普通掛號信函</t>
    <phoneticPr fontId="2" type="noConversion"/>
  </si>
  <si>
    <t>普通掛號小包</t>
    <phoneticPr fontId="2" type="noConversion"/>
  </si>
  <si>
    <t>限時掛號信函</t>
    <phoneticPr fontId="2" type="noConversion"/>
  </si>
  <si>
    <t>限時掛號小包</t>
    <phoneticPr fontId="2" type="noConversion"/>
  </si>
  <si>
    <t>一般地址</t>
    <phoneticPr fontId="2" type="noConversion"/>
  </si>
  <si>
    <t>郵政信箱</t>
    <phoneticPr fontId="2" type="noConversion"/>
  </si>
  <si>
    <t>存局候領</t>
    <phoneticPr fontId="2" type="noConversion"/>
  </si>
  <si>
    <t>001</t>
    <phoneticPr fontId="2" type="noConversion"/>
  </si>
  <si>
    <t>002</t>
    <phoneticPr fontId="2" type="noConversion"/>
  </si>
  <si>
    <t>003</t>
    <phoneticPr fontId="2" type="noConversion"/>
  </si>
  <si>
    <t>004</t>
    <phoneticPr fontId="2" type="noConversion"/>
  </si>
  <si>
    <t>005</t>
    <phoneticPr fontId="2" type="noConversion"/>
  </si>
  <si>
    <t>MAIL_SUBTYPE_NAME</t>
    <phoneticPr fontId="2" type="noConversion"/>
  </si>
  <si>
    <t>地址類別</t>
    <phoneticPr fontId="2" type="noConversion"/>
  </si>
  <si>
    <t>包裝</t>
    <phoneticPr fontId="2" type="noConversion"/>
  </si>
  <si>
    <t>MAIL_PACKAGE_SIZE_NAME</t>
    <phoneticPr fontId="2" type="noConversion"/>
  </si>
  <si>
    <t>MAIL_PACKAGE_SIZE</t>
    <phoneticPr fontId="2" type="noConversion"/>
  </si>
  <si>
    <t>收件
所在縣市</t>
    <phoneticPr fontId="2" type="noConversion"/>
  </si>
  <si>
    <t>收件
鄉鎮市區</t>
    <phoneticPr fontId="2" type="noConversion"/>
  </si>
  <si>
    <t>收件
道路 街名 村里</t>
    <phoneticPr fontId="2" type="noConversion"/>
  </si>
  <si>
    <t>收件
地址</t>
    <phoneticPr fontId="2" type="noConversion"/>
  </si>
  <si>
    <t>MAIL_CONTRACT_NO</t>
    <phoneticPr fontId="2" type="noConversion"/>
  </si>
  <si>
    <t>MAIL_SNAME</t>
    <phoneticPr fontId="2" type="noConversion"/>
  </si>
  <si>
    <t>MAIL_SADD_CITY</t>
    <phoneticPr fontId="2" type="noConversion"/>
  </si>
  <si>
    <t>MAIL_SADD_AREA</t>
    <phoneticPr fontId="2" type="noConversion"/>
  </si>
  <si>
    <t>MAIL_SADD_OTHER</t>
    <phoneticPr fontId="2" type="noConversion"/>
  </si>
  <si>
    <t>MAIL_SEMAIL</t>
    <phoneticPr fontId="2" type="noConversion"/>
  </si>
  <si>
    <t>寄件人
合約編號</t>
    <phoneticPr fontId="2" type="noConversion"/>
  </si>
  <si>
    <t>寄件人姓名</t>
    <phoneticPr fontId="2" type="noConversion"/>
  </si>
  <si>
    <t>寄件人電話</t>
    <phoneticPr fontId="2" type="noConversion"/>
  </si>
  <si>
    <t>寄件人
所在縣市</t>
    <phoneticPr fontId="2" type="noConversion"/>
  </si>
  <si>
    <t>寄件人
鄉鎮市區</t>
    <phoneticPr fontId="2" type="noConversion"/>
  </si>
  <si>
    <t>寄件人
地址</t>
    <phoneticPr fontId="2" type="noConversion"/>
  </si>
  <si>
    <t>MAIL_SPHONE</t>
    <phoneticPr fontId="2" type="noConversion"/>
  </si>
  <si>
    <t>報值
金額</t>
    <phoneticPr fontId="2" type="noConversion"/>
  </si>
  <si>
    <t>寄件人
電子郵件
信箱</t>
    <phoneticPr fontId="2" type="noConversion"/>
  </si>
  <si>
    <t>種類</t>
  </si>
  <si>
    <t>計費標準</t>
  </si>
  <si>
    <t>不逾20</t>
  </si>
  <si>
    <t>21-50</t>
  </si>
  <si>
    <t>51-100</t>
  </si>
  <si>
    <t>101-250</t>
  </si>
  <si>
    <t>251-500</t>
  </si>
  <si>
    <t>501-1000</t>
  </si>
  <si>
    <t>1001-2000</t>
  </si>
  <si>
    <t>備　註</t>
  </si>
  <si>
    <t>公克</t>
  </si>
  <si>
    <t>普通掛號</t>
  </si>
  <si>
    <t>限時掛號</t>
  </si>
  <si>
    <t>0.自備箱袋</t>
    <phoneticPr fontId="2" type="noConversion"/>
  </si>
  <si>
    <t>41.便利包一號16*28CM</t>
    <phoneticPr fontId="2" type="noConversion"/>
  </si>
  <si>
    <t>42.便利包二號23*32CM</t>
    <phoneticPr fontId="2" type="noConversion"/>
  </si>
  <si>
    <t>43.便利包三號28*38CM</t>
    <phoneticPr fontId="2" type="noConversion"/>
  </si>
  <si>
    <t>51.首次_bag1_一般便利袋:31×23×3(cm)</t>
    <phoneticPr fontId="2" type="noConversion"/>
  </si>
  <si>
    <t>52.首次_box2_方型便利箱:23×18×19(cm)</t>
    <phoneticPr fontId="8" type="noConversion"/>
  </si>
  <si>
    <t>53.首次_bag2_寶貝便利袋:29.5x22(cm)</t>
    <phoneticPr fontId="8" type="noConversion"/>
  </si>
  <si>
    <t>54.首次_box3_90公分便利箱:39.5×27.5×23(cm)</t>
    <phoneticPr fontId="8" type="noConversion"/>
  </si>
  <si>
    <t xml:space="preserve">56.首次_box5_小型便利箱:23x14x13(cm) </t>
    <phoneticPr fontId="8" type="noConversion"/>
  </si>
  <si>
    <t>57.首次_box1_長型便利箱:31×22.8×10.3(cm)</t>
    <phoneticPr fontId="8" type="noConversion"/>
  </si>
  <si>
    <t>61.重複_bag1_一般便利袋:31x23x3(cm)</t>
    <phoneticPr fontId="8" type="noConversion"/>
  </si>
  <si>
    <t>62.重複_box2_方型便利箱:23x18x19(cm)</t>
    <phoneticPr fontId="8" type="noConversion"/>
  </si>
  <si>
    <t>63.重複_bag2_寶貝便利袋:29.5x22(cm)</t>
    <phoneticPr fontId="8" type="noConversion"/>
  </si>
  <si>
    <t>64.重複_box3_90公分便利箱:39.5x27.5x23(cm)</t>
    <phoneticPr fontId="8" type="noConversion"/>
  </si>
  <si>
    <t>66.重複_box5_小型便利箱:23x14x13(cm)</t>
    <phoneticPr fontId="8" type="noConversion"/>
  </si>
  <si>
    <t>67.重複_box1_長型便利箱:31x22.8x10.3(cm)</t>
    <phoneticPr fontId="8" type="noConversion"/>
  </si>
  <si>
    <t>0</t>
    <phoneticPr fontId="2" type="noConversion"/>
  </si>
  <si>
    <t>41</t>
    <phoneticPr fontId="2" type="noConversion"/>
  </si>
  <si>
    <t>42</t>
    <phoneticPr fontId="2" type="noConversion"/>
  </si>
  <si>
    <t>43</t>
    <phoneticPr fontId="2" type="noConversion"/>
  </si>
  <si>
    <t>51</t>
    <phoneticPr fontId="2" type="noConversion"/>
  </si>
  <si>
    <t>52</t>
    <phoneticPr fontId="2" type="noConversion"/>
  </si>
  <si>
    <t>53</t>
    <phoneticPr fontId="2" type="noConversion"/>
  </si>
  <si>
    <t>54</t>
    <phoneticPr fontId="2" type="noConversion"/>
  </si>
  <si>
    <t>56</t>
    <phoneticPr fontId="2" type="noConversion"/>
  </si>
  <si>
    <t>57</t>
    <phoneticPr fontId="2" type="noConversion"/>
  </si>
  <si>
    <t>61</t>
    <phoneticPr fontId="2" type="noConversion"/>
  </si>
  <si>
    <t>62</t>
    <phoneticPr fontId="2" type="noConversion"/>
  </si>
  <si>
    <t>63</t>
    <phoneticPr fontId="2" type="noConversion"/>
  </si>
  <si>
    <t>64</t>
    <phoneticPr fontId="2" type="noConversion"/>
  </si>
  <si>
    <t>66</t>
    <phoneticPr fontId="2" type="noConversion"/>
  </si>
  <si>
    <t>67</t>
    <phoneticPr fontId="2" type="noConversion"/>
  </si>
  <si>
    <t>310</t>
    <phoneticPr fontId="2" type="noConversion"/>
  </si>
  <si>
    <t>320</t>
    <phoneticPr fontId="2" type="noConversion"/>
  </si>
  <si>
    <t>311</t>
    <phoneticPr fontId="2" type="noConversion"/>
  </si>
  <si>
    <t>321</t>
    <phoneticPr fontId="2" type="noConversion"/>
  </si>
  <si>
    <t>i郵箱地址</t>
    <phoneticPr fontId="2" type="noConversion"/>
  </si>
  <si>
    <t>軍事特種信箱</t>
    <phoneticPr fontId="2" type="noConversion"/>
  </si>
  <si>
    <t>包材</t>
    <phoneticPr fontId="2" type="noConversion"/>
  </si>
  <si>
    <t>香山區</t>
    <phoneticPr fontId="2" type="noConversion"/>
  </si>
  <si>
    <t>國內信函資費表</t>
    <phoneticPr fontId="2" type="noConversion"/>
  </si>
  <si>
    <t>國內小包資費表</t>
    <phoneticPr fontId="2" type="noConversion"/>
  </si>
  <si>
    <t>最後更新日期：110/8/31</t>
    <phoneticPr fontId="2" type="noConversion"/>
  </si>
  <si>
    <t>不逾100</t>
    <phoneticPr fontId="2" type="noConversion"/>
  </si>
  <si>
    <t>101-200</t>
    <phoneticPr fontId="2" type="noConversion"/>
  </si>
  <si>
    <t>401-500</t>
    <phoneticPr fontId="2" type="noConversion"/>
  </si>
  <si>
    <t>601-700</t>
    <phoneticPr fontId="2" type="noConversion"/>
  </si>
  <si>
    <t>901-1000</t>
    <phoneticPr fontId="2" type="noConversion"/>
  </si>
  <si>
    <t>信函</t>
    <phoneticPr fontId="2" type="noConversion"/>
  </si>
  <si>
    <t>逾2公斤，每續重1公斤加收48元，未滿1公斤按1公斤計算。(每件限重20公斤)</t>
    <phoneticPr fontId="2" type="noConversion"/>
  </si>
  <si>
    <t>小包</t>
    <phoneticPr fontId="2" type="noConversion"/>
  </si>
  <si>
    <t>限重1公斤</t>
    <phoneticPr fontId="2" type="noConversion"/>
  </si>
  <si>
    <t>郵局便利箱(袋)</t>
  </si>
  <si>
    <t>最後更新日期：110/3/24</t>
    <phoneticPr fontId="2" type="noConversion"/>
  </si>
  <si>
    <t>其他函件業務說明(業務說明、郵遞時效)請按此</t>
    <phoneticPr fontId="2" type="noConversion"/>
  </si>
  <si>
    <t>郵局便利包(1公斤以內均一價)</t>
    <phoneticPr fontId="2" type="noConversion"/>
  </si>
  <si>
    <t>最後更新日期：110/08/31</t>
    <phoneticPr fontId="2" type="noConversion"/>
  </si>
  <si>
    <t>201-300</t>
    <phoneticPr fontId="2" type="noConversion"/>
  </si>
  <si>
    <t>301-400</t>
    <phoneticPr fontId="2" type="noConversion"/>
  </si>
  <si>
    <t>501-600</t>
    <phoneticPr fontId="2" type="noConversion"/>
  </si>
  <si>
    <t>701-800</t>
    <phoneticPr fontId="2" type="noConversion"/>
  </si>
  <si>
    <t>801-900</t>
    <phoneticPr fontId="2" type="noConversion"/>
  </si>
  <si>
    <t>備註</t>
    <phoneticPr fontId="2" type="noConversion"/>
  </si>
  <si>
    <t>信函定義：寄交特定人或特定地址以傳達訊息之文件。</t>
    <phoneticPr fontId="2" type="noConversion"/>
  </si>
  <si>
    <t>小包定義：指寄交特定人或特定地址不逾1公斤之小件物品。印刷物亦得做小包交寄。</t>
    <phoneticPr fontId="2" type="noConversion"/>
  </si>
  <si>
    <t>郵局便利箱(袋)</t>
    <phoneticPr fontId="2" type="noConversion"/>
  </si>
  <si>
    <t>填寫說明:
1.表頭以紅色字體代表必填欄位，黑色字體為選填欄位，另「編號」欄位免填寫(系統自動填入)。
2.函件單邊最大尺寸不得逾60公分，合計以90公分為限，成捲者另有規定。目前僅開放使用郵局便利包、包裹或快捷寄至i郵箱取件。
3.小包退回或改寄者，應另付資費。
4.本報值服務限額五萬元(不得裝寄法定紙幣)，選擇報值者需另付報值費用，報值金額每新台幣1,000元（不足1,000元之畸零數者視為1,000元），另加收4元報值費用。
5.相關資費資訊請參閱其他分頁說明，更多資訊(如國內函件種類說明)請至本公司全球資訊網https://www.post.gov.tw/查詢</t>
    <phoneticPr fontId="2" type="noConversion"/>
  </si>
  <si>
    <t>version</t>
    <phoneticPr fontId="2" type="noConversion"/>
  </si>
  <si>
    <t>收件地址</t>
    <phoneticPr fontId="2" type="noConversion"/>
  </si>
  <si>
    <t>寄件人地址</t>
    <phoneticPr fontId="2" type="noConversion"/>
  </si>
  <si>
    <t>寄達地址類型</t>
    <phoneticPr fontId="2" type="noConversion"/>
  </si>
  <si>
    <t>MAIL_RPHONE</t>
    <phoneticPr fontId="2" type="noConversion"/>
  </si>
  <si>
    <t>MAIL_RADD_TYPE_NAME</t>
    <phoneticPr fontId="2" type="noConversion"/>
  </si>
  <si>
    <t>MAIL_TYPE</t>
    <phoneticPr fontId="2" type="noConversion"/>
  </si>
  <si>
    <t>mailType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</si>
</sst>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_ "/>
    <numFmt numFmtId="178" formatCode="0.000_ "/>
  </numFmts>
  <fonts count="24" x14ac:knownFonts="1">
    <font>
      <sz val="12"/>
      <color theme="1"/>
      <name val="新細明體"/>
      <family val="1"/>
      <charset val="136"/>
      <scheme val="minor"/>
    </font>
    <font>
      <sz val="12"/>
      <color indexed="8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name val="新細明體"/>
      <family val="1"/>
      <charset val="136"/>
    </font>
    <font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9"/>
      <color indexed="57"/>
      <name val="細明體"/>
      <family val="3"/>
      <charset val="136"/>
    </font>
    <font>
      <sz val="9"/>
      <name val="新細明體"/>
      <family val="1"/>
      <charset val="136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name val="新細明體"/>
      <family val="1"/>
      <charset val="136"/>
    </font>
    <font>
      <b/>
      <u/>
      <sz val="16"/>
      <name val="微軟正黑體"/>
      <family val="2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u/>
      <sz val="12"/>
      <color theme="10"/>
      <name val="新細明體"/>
      <family val="1"/>
      <charset val="136"/>
      <scheme val="minor"/>
    </font>
    <font>
      <sz val="12"/>
      <color rgb="FFFF0000"/>
      <name val="新細明體"/>
      <family val="1"/>
      <charset val="136"/>
    </font>
    <font>
      <sz val="12"/>
      <color theme="1"/>
      <name val="細明體"/>
      <family val="3"/>
      <charset val="136"/>
    </font>
    <font>
      <sz val="12"/>
      <color theme="0"/>
      <name val="新細明體"/>
      <family val="1"/>
      <charset val="136"/>
    </font>
    <font>
      <sz val="9"/>
      <color rgb="FFFFFFFF"/>
      <name val="微軟正黑體"/>
      <family val="2"/>
      <charset val="136"/>
    </font>
    <font>
      <sz val="9"/>
      <color rgb="FF434343"/>
      <name val="微軟正黑體"/>
      <family val="2"/>
      <charset val="136"/>
    </font>
    <font>
      <sz val="9"/>
      <color rgb="FFFF0000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34AFAC"/>
        <bgColor indexed="64"/>
      </patternFill>
    </fill>
    <fill>
      <patternFill patternType="solid">
        <fgColor rgb="FF2CB02A"/>
        <bgColor indexed="64"/>
      </patternFill>
    </fill>
    <fill>
      <patternFill patternType="solid">
        <fgColor rgb="FF40C63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109F0D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ADF4AA"/>
      </left>
      <right style="medium">
        <color rgb="FFADF4AA"/>
      </right>
      <top/>
      <bottom/>
      <diagonal/>
    </border>
    <border>
      <left style="medium">
        <color rgb="FFE3E3E3"/>
      </left>
      <right style="medium">
        <color rgb="FFADF4AA"/>
      </right>
      <top style="medium">
        <color rgb="FFE3E3E3"/>
      </top>
      <bottom style="medium">
        <color rgb="FFADF4AA"/>
      </bottom>
      <diagonal/>
    </border>
    <border>
      <left style="medium">
        <color rgb="FFE3E3E3"/>
      </left>
      <right style="medium">
        <color rgb="FFE3E3E3"/>
      </right>
      <top style="medium">
        <color rgb="FFE3E3E3"/>
      </top>
      <bottom style="medium">
        <color rgb="FFE3E3E3"/>
      </bottom>
      <diagonal/>
    </border>
    <border>
      <left/>
      <right style="medium">
        <color rgb="FFADF4AA"/>
      </right>
      <top/>
      <bottom/>
      <diagonal/>
    </border>
    <border>
      <left/>
      <right style="medium">
        <color rgb="FFADF4AA"/>
      </right>
      <top/>
      <bottom style="medium">
        <color rgb="FFADF4AA"/>
      </bottom>
      <diagonal/>
    </border>
    <border>
      <left style="medium">
        <color rgb="FFE3E3E3"/>
      </left>
      <right style="medium">
        <color rgb="FFADF4AA"/>
      </right>
      <top/>
      <bottom/>
      <diagonal/>
    </border>
    <border>
      <left style="medium">
        <color rgb="FFE3E3E3"/>
      </left>
      <right/>
      <top/>
      <bottom/>
      <diagonal/>
    </border>
    <border>
      <left style="medium">
        <color rgb="FFE3E3E3"/>
      </left>
      <right style="medium">
        <color rgb="FFE3E3E3"/>
      </right>
      <top style="medium">
        <color rgb="FFADF4AA"/>
      </top>
      <bottom/>
      <diagonal/>
    </border>
    <border>
      <left style="medium">
        <color rgb="FFE3E3E3"/>
      </left>
      <right style="medium">
        <color rgb="FFE3E3E3"/>
      </right>
      <top/>
      <bottom style="medium">
        <color rgb="FFE3E3E3"/>
      </bottom>
      <diagonal/>
    </border>
    <border>
      <left style="medium">
        <color rgb="FFE3E3E3"/>
      </left>
      <right/>
      <top/>
      <bottom style="medium">
        <color rgb="FFADF4AA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ADF4AA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ADF4AA"/>
      </left>
      <right style="medium">
        <color rgb="FFADF4AA"/>
      </right>
      <top style="thin">
        <color theme="0"/>
      </top>
      <bottom/>
      <diagonal/>
    </border>
    <border>
      <left style="medium">
        <color rgb="FFADF4AA"/>
      </left>
      <right style="medium">
        <color rgb="FFADF4AA"/>
      </right>
      <top/>
      <bottom style="medium">
        <color rgb="FFADF4AA"/>
      </bottom>
      <diagonal/>
    </border>
  </borders>
  <cellStyleXfs count="2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49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Protection="1">
      <alignment vertical="center"/>
      <protection locked="0"/>
    </xf>
    <xf numFmtId="176" fontId="0" fillId="0" borderId="1" xfId="0" applyNumberFormat="1" applyBorder="1" applyProtection="1">
      <alignment vertical="center"/>
      <protection locked="0"/>
    </xf>
    <xf numFmtId="0" fontId="4" fillId="0" borderId="1" xfId="0" applyFont="1" applyBorder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76" fontId="16" fillId="3" borderId="1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49" fontId="0" fillId="0" borderId="2" xfId="0" applyNumberFormat="1" applyBorder="1" applyProtection="1">
      <alignment vertical="center"/>
      <protection locked="0"/>
    </xf>
    <xf numFmtId="49" fontId="0" fillId="0" borderId="3" xfId="0" applyNumberFormat="1" applyBorder="1" applyProtection="1">
      <alignment vertical="center"/>
      <protection locked="0"/>
    </xf>
    <xf numFmtId="49" fontId="0" fillId="0" borderId="4" xfId="0" applyNumberFormat="1" applyBorder="1" applyProtection="1">
      <alignment vertical="center"/>
      <protection locked="0"/>
    </xf>
    <xf numFmtId="49" fontId="0" fillId="0" borderId="5" xfId="0" applyNumberFormat="1" applyBorder="1" applyProtection="1">
      <alignment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49" fontId="0" fillId="0" borderId="8" xfId="0" applyNumberFormat="1" applyBorder="1" applyProtection="1">
      <alignment vertical="center"/>
      <protection locked="0"/>
    </xf>
    <xf numFmtId="49" fontId="0" fillId="0" borderId="9" xfId="0" applyNumberFormat="1" applyBorder="1" applyProtection="1">
      <alignment vertical="center"/>
      <protection locked="0"/>
    </xf>
    <xf numFmtId="49" fontId="0" fillId="0" borderId="10" xfId="0" applyNumberFormat="1" applyBorder="1" applyProtection="1">
      <alignment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176" fontId="0" fillId="0" borderId="10" xfId="0" applyNumberFormat="1" applyBorder="1" applyProtection="1">
      <alignment vertical="center"/>
      <protection locked="0"/>
    </xf>
    <xf numFmtId="0" fontId="18" fillId="4" borderId="12" xfId="0" applyFont="1" applyFill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 wrapText="1"/>
    </xf>
    <xf numFmtId="49" fontId="3" fillId="2" borderId="14" xfId="0" applyNumberFormat="1" applyFont="1" applyFill="1" applyBorder="1" applyAlignment="1">
      <alignment horizontal="center" vertical="center" wrapText="1"/>
    </xf>
    <xf numFmtId="49" fontId="3" fillId="2" borderId="15" xfId="0" applyNumberFormat="1" applyFont="1" applyFill="1" applyBorder="1" applyAlignment="1">
      <alignment horizontal="center" vertical="center" wrapText="1"/>
    </xf>
    <xf numFmtId="49" fontId="0" fillId="2" borderId="12" xfId="0" applyNumberFormat="1" applyFill="1" applyBorder="1" applyAlignment="1">
      <alignment horizontal="center" vertical="center" wrapText="1"/>
    </xf>
    <xf numFmtId="49" fontId="3" fillId="2" borderId="14" xfId="0" applyNumberFormat="1" applyFont="1" applyFill="1" applyBorder="1" applyAlignment="1">
      <alignment horizontal="center" vertical="center"/>
    </xf>
    <xf numFmtId="49" fontId="1" fillId="2" borderId="15" xfId="0" applyNumberFormat="1" applyFont="1" applyFill="1" applyBorder="1" applyAlignment="1">
      <alignment horizontal="center" vertical="center" wrapText="1"/>
    </xf>
    <xf numFmtId="0" fontId="3" fillId="4" borderId="9" xfId="0" applyFont="1" applyFill="1" applyBorder="1">
      <alignment vertical="center"/>
    </xf>
    <xf numFmtId="49" fontId="0" fillId="0" borderId="16" xfId="0" applyNumberFormat="1" applyBorder="1" applyProtection="1">
      <alignment vertical="center"/>
      <protection locked="0"/>
    </xf>
    <xf numFmtId="176" fontId="0" fillId="0" borderId="6" xfId="0" applyNumberFormat="1" applyBorder="1" applyProtection="1">
      <alignment vertical="center"/>
      <protection locked="0"/>
    </xf>
    <xf numFmtId="0" fontId="4" fillId="0" borderId="0" xfId="0" applyFont="1" applyAlignment="1">
      <alignment vertical="center" wrapText="1"/>
    </xf>
    <xf numFmtId="49" fontId="0" fillId="0" borderId="17" xfId="0" applyNumberFormat="1" applyBorder="1">
      <alignment vertical="center"/>
    </xf>
    <xf numFmtId="49" fontId="0" fillId="0" borderId="18" xfId="0" applyNumberFormat="1" applyBorder="1">
      <alignment vertical="center"/>
    </xf>
    <xf numFmtId="176" fontId="0" fillId="0" borderId="17" xfId="0" applyNumberFormat="1" applyBorder="1">
      <alignment vertical="center"/>
    </xf>
    <xf numFmtId="0" fontId="19" fillId="5" borderId="39" xfId="0" applyFont="1" applyFill="1" applyBorder="1" applyAlignment="1">
      <alignment horizontal="center" vertical="center" wrapText="1"/>
    </xf>
    <xf numFmtId="0" fontId="19" fillId="6" borderId="40" xfId="0" applyFont="1" applyFill="1" applyBorder="1" applyAlignment="1">
      <alignment vertical="center" wrapText="1"/>
    </xf>
    <xf numFmtId="0" fontId="20" fillId="7" borderId="41" xfId="0" applyFont="1" applyFill="1" applyBorder="1" applyAlignment="1">
      <alignment horizontal="center" vertical="center" wrapText="1"/>
    </xf>
    <xf numFmtId="0" fontId="20" fillId="8" borderId="41" xfId="0" applyFont="1" applyFill="1" applyBorder="1" applyAlignment="1">
      <alignment horizontal="center" vertical="center" wrapText="1"/>
    </xf>
    <xf numFmtId="176" fontId="16" fillId="2" borderId="14" xfId="0" applyNumberFormat="1" applyFont="1" applyFill="1" applyBorder="1" applyAlignment="1">
      <alignment horizontal="center" vertical="center" wrapText="1"/>
    </xf>
    <xf numFmtId="178" fontId="0" fillId="0" borderId="1" xfId="0" applyNumberFormat="1" applyBorder="1">
      <alignment vertical="center"/>
    </xf>
    <xf numFmtId="178" fontId="0" fillId="0" borderId="19" xfId="0" applyNumberFormat="1" applyBorder="1">
      <alignment vertical="center"/>
    </xf>
    <xf numFmtId="178" fontId="16" fillId="2" borderId="20" xfId="0" applyNumberFormat="1" applyFont="1" applyFill="1" applyBorder="1" applyAlignment="1">
      <alignment horizontal="center" vertical="center" wrapText="1"/>
    </xf>
    <xf numFmtId="178" fontId="0" fillId="0" borderId="21" xfId="0" applyNumberFormat="1" applyBorder="1" applyProtection="1">
      <alignment vertical="center"/>
      <protection locked="0"/>
    </xf>
    <xf numFmtId="178" fontId="0" fillId="0" borderId="22" xfId="0" applyNumberFormat="1" applyBorder="1" applyProtection="1">
      <alignment vertical="center"/>
      <protection locked="0"/>
    </xf>
    <xf numFmtId="178" fontId="0" fillId="0" borderId="23" xfId="0" applyNumberFormat="1" applyBorder="1" applyProtection="1">
      <alignment vertical="center"/>
      <protection locked="0"/>
    </xf>
    <xf numFmtId="178" fontId="0" fillId="0" borderId="0" xfId="0" applyNumberFormat="1">
      <alignment vertical="center"/>
    </xf>
    <xf numFmtId="0" fontId="19" fillId="5" borderId="42" xfId="0" applyFont="1" applyFill="1" applyBorder="1" applyAlignment="1">
      <alignment horizontal="center" vertical="center" wrapText="1"/>
    </xf>
    <xf numFmtId="0" fontId="19" fillId="5" borderId="43" xfId="0" applyFont="1" applyFill="1" applyBorder="1" applyAlignment="1">
      <alignment horizontal="center" vertical="center" wrapText="1"/>
    </xf>
    <xf numFmtId="49" fontId="1" fillId="2" borderId="13" xfId="0" applyNumberFormat="1" applyFont="1" applyFill="1" applyBorder="1" applyAlignment="1">
      <alignment horizontal="center" vertical="center" wrapText="1"/>
    </xf>
    <xf numFmtId="177" fontId="0" fillId="0" borderId="6" xfId="0" applyNumberFormat="1" applyBorder="1" applyProtection="1">
      <alignment vertical="center"/>
      <protection locked="0"/>
    </xf>
    <xf numFmtId="177" fontId="0" fillId="0" borderId="27" xfId="0" applyNumberFormat="1" applyBorder="1" applyProtection="1">
      <alignment vertical="center"/>
      <protection locked="0"/>
    </xf>
    <xf numFmtId="177" fontId="0" fillId="0" borderId="1" xfId="0" applyNumberFormat="1" applyBorder="1" applyProtection="1">
      <alignment vertical="center"/>
      <protection locked="0"/>
    </xf>
    <xf numFmtId="177" fontId="0" fillId="0" borderId="1" xfId="0" applyNumberFormat="1" applyBorder="1" applyAlignment="1" applyProtection="1">
      <alignment vertical="center" wrapText="1"/>
      <protection locked="0"/>
    </xf>
    <xf numFmtId="49" fontId="3" fillId="3" borderId="3" xfId="0" applyNumberFormat="1" applyFont="1" applyFill="1" applyBorder="1" applyAlignment="1">
      <alignment horizontal="center" vertical="center" wrapText="1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" xfId="0" applyBorder="1">
      <alignment vertical="center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25" xfId="0" applyNumberFormat="1" applyBorder="1" applyAlignment="1" applyProtection="1">
      <alignment horizontal="left" vertical="center"/>
      <protection locked="0"/>
    </xf>
    <xf numFmtId="49" fontId="0" fillId="0" borderId="22" xfId="0" applyNumberFormat="1" applyBorder="1" applyAlignment="1" applyProtection="1">
      <alignment horizontal="left" vertical="center"/>
      <protection locked="0"/>
    </xf>
    <xf numFmtId="49" fontId="0" fillId="0" borderId="16" xfId="0" applyNumberFormat="1" applyBorder="1" applyAlignment="1" applyProtection="1">
      <alignment horizontal="left" vertical="center"/>
      <protection locked="0"/>
    </xf>
    <xf numFmtId="49" fontId="0" fillId="0" borderId="26" xfId="0" applyNumberFormat="1" applyBorder="1" applyAlignment="1" applyProtection="1">
      <alignment horizontal="left" vertical="center"/>
      <protection locked="0"/>
    </xf>
    <xf numFmtId="49" fontId="0" fillId="0" borderId="23" xfId="0" applyNumberFormat="1" applyBorder="1" applyAlignment="1" applyProtection="1">
      <alignment horizontal="left" vertical="center"/>
      <protection locked="0"/>
    </xf>
    <xf numFmtId="0" fontId="4" fillId="9" borderId="30" xfId="0" applyFont="1" applyFill="1" applyBorder="1" applyAlignment="1">
      <alignment vertical="center" wrapText="1"/>
    </xf>
    <xf numFmtId="0" fontId="4" fillId="9" borderId="31" xfId="0" applyFont="1" applyFill="1" applyBorder="1" applyAlignment="1">
      <alignment vertical="center" wrapText="1"/>
    </xf>
    <xf numFmtId="0" fontId="4" fillId="9" borderId="24" xfId="0" applyFont="1" applyFill="1" applyBorder="1" applyAlignment="1">
      <alignment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2" xfId="0" applyNumberFormat="1" applyFont="1" applyFill="1" applyBorder="1" applyAlignment="1">
      <alignment horizontal="center" vertical="center" wrapText="1"/>
    </xf>
    <xf numFmtId="49" fontId="3" fillId="2" borderId="33" xfId="0" applyNumberFormat="1" applyFont="1" applyFill="1" applyBorder="1" applyAlignment="1">
      <alignment horizontal="center" vertical="center" wrapText="1"/>
    </xf>
    <xf numFmtId="49" fontId="0" fillId="0" borderId="28" xfId="0" applyNumberFormat="1" applyBorder="1" applyProtection="1">
      <alignment vertical="center"/>
      <protection locked="0"/>
    </xf>
    <xf numFmtId="49" fontId="0" fillId="0" borderId="34" xfId="0" applyNumberFormat="1" applyBorder="1" applyProtection="1">
      <alignment vertical="center"/>
      <protection locked="0"/>
    </xf>
    <xf numFmtId="49" fontId="0" fillId="0" borderId="35" xfId="0" applyNumberFormat="1" applyBorder="1" applyProtection="1">
      <alignment vertical="center"/>
      <protection locked="0"/>
    </xf>
    <xf numFmtId="49" fontId="0" fillId="0" borderId="2" xfId="0" applyNumberFormat="1" applyBorder="1" applyProtection="1">
      <alignment vertical="center"/>
      <protection locked="0"/>
    </xf>
    <xf numFmtId="49" fontId="0" fillId="0" borderId="25" xfId="0" applyNumberFormat="1" applyBorder="1" applyProtection="1">
      <alignment vertical="center"/>
      <protection locked="0"/>
    </xf>
    <xf numFmtId="49" fontId="0" fillId="0" borderId="36" xfId="0" applyNumberFormat="1" applyBorder="1" applyProtection="1">
      <alignment vertical="center"/>
      <protection locked="0"/>
    </xf>
    <xf numFmtId="49" fontId="0" fillId="0" borderId="16" xfId="0" applyNumberFormat="1" applyBorder="1" applyAlignment="1" applyProtection="1">
      <alignment horizontal="center" vertical="center"/>
      <protection locked="0"/>
    </xf>
    <xf numFmtId="49" fontId="0" fillId="0" borderId="26" xfId="0" applyNumberFormat="1" applyBorder="1" applyAlignment="1" applyProtection="1">
      <alignment horizontal="center" vertical="center"/>
      <protection locked="0"/>
    </xf>
    <xf numFmtId="49" fontId="0" fillId="0" borderId="37" xfId="0" applyNumberFormat="1" applyBorder="1" applyAlignment="1" applyProtection="1">
      <alignment horizontal="center" vertical="center"/>
      <protection locked="0"/>
    </xf>
    <xf numFmtId="49" fontId="3" fillId="2" borderId="20" xfId="0" applyNumberFormat="1" applyFont="1" applyFill="1" applyBorder="1" applyAlignment="1">
      <alignment horizontal="center" vertical="center" wrapText="1"/>
    </xf>
    <xf numFmtId="49" fontId="0" fillId="0" borderId="28" xfId="0" applyNumberFormat="1" applyBorder="1" applyAlignment="1" applyProtection="1">
      <alignment horizontal="left" vertical="center"/>
      <protection locked="0"/>
    </xf>
    <xf numFmtId="49" fontId="0" fillId="0" borderId="34" xfId="0" applyNumberFormat="1" applyBorder="1" applyAlignment="1" applyProtection="1">
      <alignment horizontal="left" vertical="center"/>
      <protection locked="0"/>
    </xf>
    <xf numFmtId="49" fontId="0" fillId="0" borderId="38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>
      <alignment horizontal="center" vertical="center"/>
    </xf>
    <xf numFmtId="49" fontId="0" fillId="0" borderId="25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19" fillId="10" borderId="44" xfId="0" applyFont="1" applyFill="1" applyBorder="1" applyAlignment="1">
      <alignment horizontal="center" vertical="center" wrapText="1"/>
    </xf>
    <xf numFmtId="0" fontId="20" fillId="7" borderId="45" xfId="0" applyFont="1" applyFill="1" applyBorder="1" applyAlignment="1">
      <alignment horizontal="left" vertical="center" wrapText="1"/>
    </xf>
    <xf numFmtId="0" fontId="20" fillId="7" borderId="0" xfId="0" applyFont="1" applyFill="1" applyAlignment="1">
      <alignment horizontal="left" vertical="center" wrapText="1"/>
    </xf>
    <xf numFmtId="0" fontId="20" fillId="7" borderId="46" xfId="0" applyFont="1" applyFill="1" applyBorder="1" applyAlignment="1">
      <alignment horizontal="center" vertical="center" wrapText="1"/>
    </xf>
    <xf numFmtId="0" fontId="20" fillId="7" borderId="47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horizontal="right" vertical="center"/>
    </xf>
    <xf numFmtId="0" fontId="12" fillId="0" borderId="0" xfId="1" applyFont="1" applyAlignment="1">
      <alignment horizontal="center" vertical="center"/>
    </xf>
    <xf numFmtId="0" fontId="12" fillId="0" borderId="0" xfId="1" applyFont="1" applyBorder="1" applyAlignment="1">
      <alignment horizontal="center" vertical="center"/>
    </xf>
    <xf numFmtId="0" fontId="19" fillId="5" borderId="45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19" fillId="5" borderId="42" xfId="0" applyFont="1" applyFill="1" applyBorder="1" applyAlignment="1">
      <alignment horizontal="center" vertical="center" wrapText="1"/>
    </xf>
    <xf numFmtId="0" fontId="19" fillId="5" borderId="48" xfId="0" applyFont="1" applyFill="1" applyBorder="1" applyAlignment="1">
      <alignment horizontal="center" vertical="center" wrapText="1"/>
    </xf>
    <xf numFmtId="0" fontId="19" fillId="5" borderId="43" xfId="0" applyFont="1" applyFill="1" applyBorder="1" applyAlignment="1">
      <alignment horizontal="center" vertical="center" wrapText="1"/>
    </xf>
    <xf numFmtId="0" fontId="19" fillId="5" borderId="53" xfId="0" applyFont="1" applyFill="1" applyBorder="1" applyAlignment="1">
      <alignment horizontal="center" vertical="center" wrapText="1"/>
    </xf>
    <xf numFmtId="0" fontId="19" fillId="5" borderId="54" xfId="0" applyFont="1" applyFill="1" applyBorder="1" applyAlignment="1">
      <alignment horizontal="center" vertical="center" wrapText="1"/>
    </xf>
    <xf numFmtId="0" fontId="19" fillId="5" borderId="55" xfId="0" applyFont="1" applyFill="1" applyBorder="1" applyAlignment="1">
      <alignment horizontal="center" vertical="center" wrapText="1"/>
    </xf>
    <xf numFmtId="0" fontId="19" fillId="5" borderId="56" xfId="0" applyFont="1" applyFill="1" applyBorder="1" applyAlignment="1">
      <alignment horizontal="center" vertical="center" wrapText="1"/>
    </xf>
    <xf numFmtId="0" fontId="19" fillId="5" borderId="57" xfId="0" applyFont="1" applyFill="1" applyBorder="1" applyAlignment="1">
      <alignment horizontal="center" vertical="center" wrapText="1"/>
    </xf>
    <xf numFmtId="0" fontId="19" fillId="5" borderId="49" xfId="0" applyFont="1" applyFill="1" applyBorder="1" applyAlignment="1">
      <alignment horizontal="center" vertical="center" wrapText="1"/>
    </xf>
    <xf numFmtId="0" fontId="19" fillId="5" borderId="50" xfId="0" applyFont="1" applyFill="1" applyBorder="1" applyAlignment="1">
      <alignment horizontal="center" vertical="center" wrapText="1"/>
    </xf>
    <xf numFmtId="0" fontId="19" fillId="5" borderId="51" xfId="0" applyFont="1" applyFill="1" applyBorder="1" applyAlignment="1">
      <alignment horizontal="center" vertical="center" wrapText="1"/>
    </xf>
    <xf numFmtId="0" fontId="19" fillId="5" borderId="52" xfId="0" applyFont="1" applyFill="1" applyBorder="1" applyAlignment="1">
      <alignment horizontal="center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11</xdr:row>
      <xdr:rowOff>19050</xdr:rowOff>
    </xdr:from>
    <xdr:to>
      <xdr:col>4</xdr:col>
      <xdr:colOff>101600</xdr:colOff>
      <xdr:row>16</xdr:row>
      <xdr:rowOff>165100</xdr:rowOff>
    </xdr:to>
    <xdr:pic>
      <xdr:nvPicPr>
        <xdr:cNvPr id="3437" name="圖片 6">
          <a:extLst>
            <a:ext uri="{FF2B5EF4-FFF2-40B4-BE49-F238E27FC236}">
              <a16:creationId xmlns:a16="http://schemas.microsoft.com/office/drawing/2014/main" id="{E8F81866-3B06-2D7F-311C-E6D6DBB3B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" y="2501900"/>
          <a:ext cx="2533650" cy="122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533400</xdr:colOff>
      <xdr:row>11</xdr:row>
      <xdr:rowOff>38100</xdr:rowOff>
    </xdr:from>
    <xdr:to>
      <xdr:col>12</xdr:col>
      <xdr:colOff>0</xdr:colOff>
      <xdr:row>16</xdr:row>
      <xdr:rowOff>184150</xdr:rowOff>
    </xdr:to>
    <xdr:pic>
      <xdr:nvPicPr>
        <xdr:cNvPr id="3438" name="圖片 7">
          <a:extLst>
            <a:ext uri="{FF2B5EF4-FFF2-40B4-BE49-F238E27FC236}">
              <a16:creationId xmlns:a16="http://schemas.microsoft.com/office/drawing/2014/main" id="{805065F0-7358-E927-9A3B-DC6AE906A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20950"/>
          <a:ext cx="2514600" cy="122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107950</xdr:colOff>
      <xdr:row>11</xdr:row>
      <xdr:rowOff>31750</xdr:rowOff>
    </xdr:from>
    <xdr:to>
      <xdr:col>7</xdr:col>
      <xdr:colOff>539750</xdr:colOff>
      <xdr:row>16</xdr:row>
      <xdr:rowOff>177800</xdr:rowOff>
    </xdr:to>
    <xdr:pic>
      <xdr:nvPicPr>
        <xdr:cNvPr id="3439" name="圖片 1">
          <a:extLst>
            <a:ext uri="{FF2B5EF4-FFF2-40B4-BE49-F238E27FC236}">
              <a16:creationId xmlns:a16="http://schemas.microsoft.com/office/drawing/2014/main" id="{7B8CD100-491E-CE67-5965-2A1EDD11A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6350" y="2514600"/>
          <a:ext cx="2260600" cy="122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330200</xdr:colOff>
      <xdr:row>11</xdr:row>
      <xdr:rowOff>12700</xdr:rowOff>
    </xdr:from>
    <xdr:to>
      <xdr:col>17</xdr:col>
      <xdr:colOff>425450</xdr:colOff>
      <xdr:row>16</xdr:row>
      <xdr:rowOff>158750</xdr:rowOff>
    </xdr:to>
    <xdr:pic>
      <xdr:nvPicPr>
        <xdr:cNvPr id="3440" name="圖片 6">
          <a:extLst>
            <a:ext uri="{FF2B5EF4-FFF2-40B4-BE49-F238E27FC236}">
              <a16:creationId xmlns:a16="http://schemas.microsoft.com/office/drawing/2014/main" id="{40651DFC-6CA4-D565-AC44-1B5EFED0A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2495550"/>
          <a:ext cx="2533650" cy="122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234950</xdr:colOff>
      <xdr:row>11</xdr:row>
      <xdr:rowOff>31750</xdr:rowOff>
    </xdr:from>
    <xdr:to>
      <xdr:col>25</xdr:col>
      <xdr:colOff>311150</xdr:colOff>
      <xdr:row>16</xdr:row>
      <xdr:rowOff>177800</xdr:rowOff>
    </xdr:to>
    <xdr:pic>
      <xdr:nvPicPr>
        <xdr:cNvPr id="3441" name="圖片 7">
          <a:extLst>
            <a:ext uri="{FF2B5EF4-FFF2-40B4-BE49-F238E27FC236}">
              <a16:creationId xmlns:a16="http://schemas.microsoft.com/office/drawing/2014/main" id="{368F5139-5426-0323-C52A-9AB55F516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6550" y="2514600"/>
          <a:ext cx="2514600" cy="122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431800</xdr:colOff>
      <xdr:row>11</xdr:row>
      <xdr:rowOff>19050</xdr:rowOff>
    </xdr:from>
    <xdr:to>
      <xdr:col>21</xdr:col>
      <xdr:colOff>254000</xdr:colOff>
      <xdr:row>16</xdr:row>
      <xdr:rowOff>165100</xdr:rowOff>
    </xdr:to>
    <xdr:pic>
      <xdr:nvPicPr>
        <xdr:cNvPr id="3442" name="圖片 1">
          <a:extLst>
            <a:ext uri="{FF2B5EF4-FFF2-40B4-BE49-F238E27FC236}">
              <a16:creationId xmlns:a16="http://schemas.microsoft.com/office/drawing/2014/main" id="{33AC8F63-AA42-4AEF-8338-090360768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00" y="2501900"/>
          <a:ext cx="2260600" cy="122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44450</xdr:colOff>
      <xdr:row>20</xdr:row>
      <xdr:rowOff>19050</xdr:rowOff>
    </xdr:from>
    <xdr:to>
      <xdr:col>25</xdr:col>
      <xdr:colOff>603250</xdr:colOff>
      <xdr:row>32</xdr:row>
      <xdr:rowOff>12700</xdr:rowOff>
    </xdr:to>
    <xdr:pic>
      <xdr:nvPicPr>
        <xdr:cNvPr id="3443" name="圖片 1">
          <a:extLst>
            <a:ext uri="{FF2B5EF4-FFF2-40B4-BE49-F238E27FC236}">
              <a16:creationId xmlns:a16="http://schemas.microsoft.com/office/drawing/2014/main" id="{770E6D6A-5B82-302A-B0AF-407518903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9250" y="4489450"/>
          <a:ext cx="7874000" cy="258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://www.post.gov.tw/post/internet/Postal/index.jsp?ID=2020106" TargetMode="External"/><Relationship Id="rId7" Type="http://schemas.openxmlformats.org/officeDocument/2006/relationships/hyperlink" Target="http://www.post.gov.tw/post/internet/Postal/index.jsp?ID=2020101" TargetMode="External"/><Relationship Id="rId2" Type="http://schemas.openxmlformats.org/officeDocument/2006/relationships/hyperlink" Target="http://www.post.gov.tw/post/internet/Postal/index.jsp?ID=2020106" TargetMode="External"/><Relationship Id="rId1" Type="http://schemas.openxmlformats.org/officeDocument/2006/relationships/hyperlink" Target="http://www.post.gov.tw/post/internet/Postal/index.jsp?ID=2030103" TargetMode="External"/><Relationship Id="rId6" Type="http://schemas.openxmlformats.org/officeDocument/2006/relationships/hyperlink" Target="http://www.post.gov.tw/post/internet/Postal/index.jsp?ID=1375868797974" TargetMode="External"/><Relationship Id="rId5" Type="http://schemas.openxmlformats.org/officeDocument/2006/relationships/hyperlink" Target="http://www.post.gov.tw/post/internet/box/index.jsp?ID=1363572652086" TargetMode="External"/><Relationship Id="rId4" Type="http://schemas.openxmlformats.org/officeDocument/2006/relationships/hyperlink" Target="http://www.post.gov.tw/post/internet/box/index.jsp?ID=1363572652086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3B84-3FD7-4017-9A76-199D515F9E9B}">
  <dimension ref="A1:Y205"/>
  <sheetViews>
    <sheetView tabSelected="1" workbookViewId="0">
      <pane ySplit="4" topLeftCell="A5" activePane="bottomLeft" state="frozen"/>
      <selection activeCell="A2" sqref="A2"/>
      <selection pane="bottomLeft" activeCell="B5" sqref="B5"/>
    </sheetView>
  </sheetViews>
  <sheetFormatPr defaultColWidth="9" defaultRowHeight="17" zeroHeight="1" x14ac:dyDescent="0.4"/>
  <cols>
    <col min="1" max="1" width="5.453125" customWidth="1"/>
    <col min="2" max="2" width="15.08984375" customWidth="1"/>
    <col min="3" max="3" width="13.36328125" customWidth="1"/>
    <col min="4" max="4" width="9.90625" customWidth="1"/>
    <col min="5" max="5" width="10.6328125" customWidth="1"/>
    <col min="6" max="7" width="9.453125" customWidth="1"/>
    <col min="8" max="8" width="13.90625" customWidth="1"/>
    <col min="9" max="9" width="26.6328125" customWidth="1"/>
    <col min="10" max="10" width="17.08984375" customWidth="1"/>
    <col min="11" max="11" width="10.453125" customWidth="1"/>
    <col min="12" max="12" width="11.08984375" customWidth="1"/>
    <col min="13" max="13" width="9.453125" customWidth="1"/>
    <col min="14" max="14" width="11" customWidth="1"/>
    <col min="15" max="15" width="9" customWidth="1"/>
    <col min="16" max="16" width="11.90625" customWidth="1"/>
    <col min="17" max="17" width="7.453125" style="52" customWidth="1"/>
    <col min="18" max="18" width="42.6328125" customWidth="1"/>
    <col min="19" max="19" width="11" customWidth="1"/>
    <col min="20" max="20" width="19.90625" style="61" hidden="1" customWidth="1"/>
    <col min="21" max="21" width="21.7265625" hidden="1" customWidth="1"/>
    <col min="22" max="22" width="18.08984375" hidden="1" customWidth="1"/>
    <col min="23" max="23" width="20.08984375" hidden="1" customWidth="1"/>
    <col min="24" max="24" width="18.453125" hidden="1" customWidth="1"/>
    <col min="25" max="25" width="9" hidden="1" customWidth="1"/>
  </cols>
  <sheetData>
    <row r="1" spans="1:25" s="3" customFormat="1" ht="33" hidden="1" customHeight="1" x14ac:dyDescent="0.4">
      <c r="A1" s="7" t="s">
        <v>8</v>
      </c>
      <c r="B1" s="1" t="s">
        <v>821</v>
      </c>
      <c r="C1" s="1" t="s">
        <v>409</v>
      </c>
      <c r="D1" s="1" t="s">
        <v>929</v>
      </c>
      <c r="E1" s="1" t="s">
        <v>930</v>
      </c>
      <c r="F1" s="1" t="s">
        <v>410</v>
      </c>
      <c r="G1" s="1" t="s">
        <v>411</v>
      </c>
      <c r="H1" s="1" t="s">
        <v>803</v>
      </c>
      <c r="I1" s="1" t="s">
        <v>798</v>
      </c>
      <c r="J1" s="1" t="s">
        <v>830</v>
      </c>
      <c r="K1" s="1" t="s">
        <v>831</v>
      </c>
      <c r="L1" s="1" t="s">
        <v>842</v>
      </c>
      <c r="M1" s="1" t="s">
        <v>832</v>
      </c>
      <c r="N1" s="1" t="s">
        <v>833</v>
      </c>
      <c r="O1" s="1" t="s">
        <v>834</v>
      </c>
      <c r="P1" s="1" t="s">
        <v>835</v>
      </c>
      <c r="Q1" s="46" t="s">
        <v>5</v>
      </c>
      <c r="R1" s="2" t="s">
        <v>824</v>
      </c>
      <c r="S1" s="1" t="s">
        <v>802</v>
      </c>
      <c r="T1" s="3" t="s">
        <v>412</v>
      </c>
      <c r="U1" s="3" t="s">
        <v>797</v>
      </c>
      <c r="V1" s="3" t="s">
        <v>796</v>
      </c>
      <c r="W1" s="1" t="s">
        <v>807</v>
      </c>
      <c r="X1" s="3" t="s">
        <v>825</v>
      </c>
      <c r="Y1" s="3" t="s">
        <v>931</v>
      </c>
    </row>
    <row r="2" spans="1:25" s="3" customFormat="1" ht="112.5" customHeight="1" x14ac:dyDescent="0.4">
      <c r="A2" s="70" t="s">
        <v>924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2"/>
      <c r="W2" s="1"/>
    </row>
    <row r="3" spans="1:25" s="3" customFormat="1" ht="11.25" customHeight="1" thickBot="1" x14ac:dyDescent="0.4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8"/>
      <c r="P3" s="39"/>
      <c r="Q3" s="47"/>
      <c r="R3" s="40"/>
      <c r="S3" s="38"/>
      <c r="W3" s="1"/>
    </row>
    <row r="4" spans="1:25" s="4" customFormat="1" ht="70.5" customHeight="1" thickBot="1" x14ac:dyDescent="0.45">
      <c r="A4" s="26" t="s">
        <v>6</v>
      </c>
      <c r="B4" s="27" t="s">
        <v>805</v>
      </c>
      <c r="C4" s="28" t="s">
        <v>7</v>
      </c>
      <c r="D4" s="29" t="s">
        <v>15</v>
      </c>
      <c r="E4" s="29" t="s">
        <v>928</v>
      </c>
      <c r="F4" s="29" t="s">
        <v>826</v>
      </c>
      <c r="G4" s="29" t="s">
        <v>827</v>
      </c>
      <c r="H4" s="29" t="s">
        <v>828</v>
      </c>
      <c r="I4" s="30" t="s">
        <v>829</v>
      </c>
      <c r="J4" s="31" t="s">
        <v>836</v>
      </c>
      <c r="K4" s="32" t="s">
        <v>837</v>
      </c>
      <c r="L4" s="32" t="s">
        <v>838</v>
      </c>
      <c r="M4" s="29" t="s">
        <v>839</v>
      </c>
      <c r="N4" s="29" t="s">
        <v>840</v>
      </c>
      <c r="O4" s="29" t="s">
        <v>841</v>
      </c>
      <c r="P4" s="33" t="s">
        <v>844</v>
      </c>
      <c r="Q4" s="48" t="s">
        <v>1</v>
      </c>
      <c r="R4" s="45" t="s">
        <v>896</v>
      </c>
      <c r="S4" s="55" t="s">
        <v>843</v>
      </c>
      <c r="T4" s="60" t="s">
        <v>418</v>
      </c>
      <c r="U4" s="12" t="s">
        <v>419</v>
      </c>
      <c r="V4" s="12" t="s">
        <v>420</v>
      </c>
      <c r="W4" s="11" t="s">
        <v>805</v>
      </c>
      <c r="X4" s="13" t="s">
        <v>806</v>
      </c>
      <c r="Y4" s="11" t="s">
        <v>808</v>
      </c>
    </row>
    <row r="5" spans="1:25" s="3" customFormat="1" x14ac:dyDescent="0.4">
      <c r="A5" s="34" t="str">
        <f>IF(NOT(COUNTA(B5:I5)),"",ROW()-4)</f>
        <v/>
      </c>
      <c r="B5" s="21"/>
      <c r="C5" s="22"/>
      <c r="D5" s="23"/>
      <c r="E5" s="23"/>
      <c r="F5" s="23"/>
      <c r="G5" s="23"/>
      <c r="H5" s="23"/>
      <c r="I5" s="24"/>
      <c r="J5" s="22"/>
      <c r="K5" s="23"/>
      <c r="L5" s="23"/>
      <c r="M5" s="23"/>
      <c r="N5" s="23"/>
      <c r="O5" s="23"/>
      <c r="P5" s="24"/>
      <c r="Q5" s="49"/>
      <c r="R5" s="25"/>
      <c r="S5" s="57"/>
      <c r="T5" s="63" t="str">
        <f t="shared" ref="T5:T36" ca="1" si="0">IF(ISNA(VLOOKUP(E5,地址類別Mapping,2,FALSE)),"",VLOOKUP(E5,地址類別Mapping,2,FALSE))</f>
        <v/>
      </c>
      <c r="U5" s="3" t="str">
        <f t="shared" ref="U5:U36" ca="1" si="1">IF(ISNA(VLOOKUP(F5&amp;"-"&amp;G5,郵遞區號,2,FALSE)),"",VLOOKUP(F5&amp;"-"&amp;G5,郵遞區號,2,FALSE))</f>
        <v/>
      </c>
      <c r="V5" s="3" t="str">
        <f t="shared" ref="V5:V36" ca="1" si="2">IF(ISNA(VLOOKUP(M5&amp;"-"&amp;N5,郵遞區號,2,FALSE)),"",VLOOKUP(M5&amp;"-"&amp;N5,郵遞區號,2,FALSE))</f>
        <v/>
      </c>
      <c r="W5" s="1" t="str">
        <f t="shared" ref="W5:W36" ca="1" si="3">IF(ISNA(VLOOKUP(B5,郵件種類MAPPING,2,FALSE)),"",VLOOKUP(B5,郵件種類MAPPING,2,FALSE))</f>
        <v/>
      </c>
      <c r="X5" s="1" t="str">
        <f t="shared" ref="X5:X36" ca="1" si="4">IF(ISNA(VLOOKUP(R5,箱袋種類Mapping,2,FALSE)),"",VLOOKUP(R5,箱袋種類Mapping,2,FALSE))</f>
        <v/>
      </c>
      <c r="Y5" s="3" t="str">
        <f t="shared" ref="Y5:Y36" ca="1" si="5">IF(ISNA(VLOOKUP(B5,郵件種類MAPPING,2,FALSE)),"","203")</f>
        <v/>
      </c>
    </row>
    <row r="6" spans="1:25" s="3" customFormat="1" x14ac:dyDescent="0.4">
      <c r="A6" s="34" t="str">
        <f t="shared" ref="A6:A69" si="6">IF(NOT(COUNTA(B6:I6)),"",ROW()-4)</f>
        <v/>
      </c>
      <c r="B6" s="15"/>
      <c r="C6" s="16"/>
      <c r="D6" s="5"/>
      <c r="E6" s="5"/>
      <c r="F6" s="5"/>
      <c r="G6" s="5"/>
      <c r="H6" s="5"/>
      <c r="I6" s="17"/>
      <c r="J6" s="16"/>
      <c r="K6" s="5"/>
      <c r="L6" s="5"/>
      <c r="M6" s="5"/>
      <c r="N6" s="5"/>
      <c r="O6" s="5"/>
      <c r="P6" s="17"/>
      <c r="Q6" s="50"/>
      <c r="R6" s="6"/>
      <c r="S6" s="58"/>
      <c r="T6" s="63" t="str">
        <f t="shared" ca="1" si="0"/>
        <v/>
      </c>
      <c r="U6" s="3" t="str">
        <f t="shared" ca="1" si="1"/>
        <v/>
      </c>
      <c r="V6" s="3" t="str">
        <f t="shared" ca="1" si="2"/>
        <v/>
      </c>
      <c r="W6" s="1" t="str">
        <f t="shared" ca="1" si="3"/>
        <v/>
      </c>
      <c r="X6" s="1" t="str">
        <f t="shared" ca="1" si="4"/>
        <v/>
      </c>
      <c r="Y6" s="3" t="str">
        <f t="shared" ca="1" si="5"/>
        <v/>
      </c>
    </row>
    <row r="7" spans="1:25" s="3" customFormat="1" x14ac:dyDescent="0.4">
      <c r="A7" s="34" t="str">
        <f t="shared" si="6"/>
        <v/>
      </c>
      <c r="B7" s="15"/>
      <c r="C7" s="16"/>
      <c r="D7" s="5"/>
      <c r="E7" s="5"/>
      <c r="F7" s="5"/>
      <c r="G7" s="5"/>
      <c r="H7" s="5"/>
      <c r="I7" s="17"/>
      <c r="J7" s="16"/>
      <c r="K7" s="5"/>
      <c r="L7" s="5"/>
      <c r="M7" s="5"/>
      <c r="N7" s="5"/>
      <c r="O7" s="5"/>
      <c r="P7" s="17"/>
      <c r="Q7" s="50"/>
      <c r="R7" s="6"/>
      <c r="S7" s="58"/>
      <c r="T7" s="63" t="str">
        <f t="shared" ca="1" si="0"/>
        <v/>
      </c>
      <c r="U7" s="3" t="str">
        <f t="shared" ca="1" si="1"/>
        <v/>
      </c>
      <c r="V7" s="3" t="str">
        <f t="shared" ca="1" si="2"/>
        <v/>
      </c>
      <c r="W7" s="1" t="str">
        <f t="shared" ca="1" si="3"/>
        <v/>
      </c>
      <c r="X7" s="1" t="str">
        <f t="shared" ca="1" si="4"/>
        <v/>
      </c>
      <c r="Y7" s="3" t="str">
        <f t="shared" ca="1" si="5"/>
        <v/>
      </c>
    </row>
    <row r="8" spans="1:25" s="3" customFormat="1" x14ac:dyDescent="0.4">
      <c r="A8" s="34" t="str">
        <f t="shared" si="6"/>
        <v/>
      </c>
      <c r="B8" s="15"/>
      <c r="C8" s="16"/>
      <c r="D8" s="5"/>
      <c r="E8" s="5"/>
      <c r="F8" s="5"/>
      <c r="G8" s="5"/>
      <c r="H8" s="5"/>
      <c r="I8" s="17"/>
      <c r="J8" s="16"/>
      <c r="K8" s="5"/>
      <c r="L8" s="5"/>
      <c r="M8" s="5"/>
      <c r="N8" s="5"/>
      <c r="O8" s="5"/>
      <c r="P8" s="17"/>
      <c r="Q8" s="50"/>
      <c r="R8" s="6"/>
      <c r="S8" s="58"/>
      <c r="T8" s="63" t="str">
        <f t="shared" ca="1" si="0"/>
        <v/>
      </c>
      <c r="U8" s="3" t="str">
        <f t="shared" ca="1" si="1"/>
        <v/>
      </c>
      <c r="V8" s="3" t="str">
        <f t="shared" ca="1" si="2"/>
        <v/>
      </c>
      <c r="W8" s="1" t="str">
        <f t="shared" ca="1" si="3"/>
        <v/>
      </c>
      <c r="X8" s="1" t="str">
        <f t="shared" ca="1" si="4"/>
        <v/>
      </c>
      <c r="Y8" s="3" t="str">
        <f t="shared" ca="1" si="5"/>
        <v/>
      </c>
    </row>
    <row r="9" spans="1:25" s="3" customFormat="1" x14ac:dyDescent="0.4">
      <c r="A9" s="34" t="str">
        <f t="shared" si="6"/>
        <v/>
      </c>
      <c r="B9" s="15"/>
      <c r="C9" s="16"/>
      <c r="D9" s="5"/>
      <c r="E9" s="5"/>
      <c r="F9" s="5"/>
      <c r="G9" s="5"/>
      <c r="H9" s="5"/>
      <c r="I9" s="17"/>
      <c r="J9" s="16"/>
      <c r="K9" s="5"/>
      <c r="L9" s="5"/>
      <c r="M9" s="5"/>
      <c r="N9" s="5"/>
      <c r="O9" s="5"/>
      <c r="P9" s="17"/>
      <c r="Q9" s="50"/>
      <c r="R9" s="6"/>
      <c r="S9" s="58"/>
      <c r="T9" s="63" t="str">
        <f t="shared" ca="1" si="0"/>
        <v/>
      </c>
      <c r="U9" s="3" t="str">
        <f t="shared" ca="1" si="1"/>
        <v/>
      </c>
      <c r="V9" s="3" t="str">
        <f t="shared" ca="1" si="2"/>
        <v/>
      </c>
      <c r="W9" s="1" t="str">
        <f t="shared" ca="1" si="3"/>
        <v/>
      </c>
      <c r="X9" s="1" t="str">
        <f t="shared" ca="1" si="4"/>
        <v/>
      </c>
      <c r="Y9" s="3" t="str">
        <f t="shared" ca="1" si="5"/>
        <v/>
      </c>
    </row>
    <row r="10" spans="1:25" s="3" customFormat="1" x14ac:dyDescent="0.4">
      <c r="A10" s="34" t="str">
        <f t="shared" si="6"/>
        <v/>
      </c>
      <c r="B10" s="15"/>
      <c r="C10" s="16"/>
      <c r="D10" s="5"/>
      <c r="E10" s="5"/>
      <c r="F10" s="5"/>
      <c r="G10" s="5"/>
      <c r="H10" s="5"/>
      <c r="I10" s="17"/>
      <c r="J10" s="16"/>
      <c r="K10" s="5"/>
      <c r="L10" s="5"/>
      <c r="M10" s="5"/>
      <c r="N10" s="5"/>
      <c r="O10" s="5"/>
      <c r="P10" s="17"/>
      <c r="Q10" s="50"/>
      <c r="R10" s="6"/>
      <c r="S10" s="59"/>
      <c r="T10" s="63" t="str">
        <f t="shared" ca="1" si="0"/>
        <v/>
      </c>
      <c r="U10" s="3" t="str">
        <f t="shared" ca="1" si="1"/>
        <v/>
      </c>
      <c r="V10" s="3" t="str">
        <f t="shared" ca="1" si="2"/>
        <v/>
      </c>
      <c r="W10" s="1" t="str">
        <f t="shared" ca="1" si="3"/>
        <v/>
      </c>
      <c r="X10" s="1" t="str">
        <f t="shared" ca="1" si="4"/>
        <v/>
      </c>
      <c r="Y10" s="3" t="str">
        <f t="shared" ca="1" si="5"/>
        <v/>
      </c>
    </row>
    <row r="11" spans="1:25" s="3" customFormat="1" x14ac:dyDescent="0.4">
      <c r="A11" s="34" t="str">
        <f t="shared" si="6"/>
        <v/>
      </c>
      <c r="B11" s="15"/>
      <c r="C11" s="16"/>
      <c r="D11" s="5"/>
      <c r="E11" s="5"/>
      <c r="F11" s="5"/>
      <c r="G11" s="5"/>
      <c r="H11" s="5"/>
      <c r="I11" s="17"/>
      <c r="J11" s="16"/>
      <c r="K11" s="5"/>
      <c r="L11" s="5"/>
      <c r="M11" s="5"/>
      <c r="N11" s="5"/>
      <c r="O11" s="5"/>
      <c r="P11" s="17"/>
      <c r="Q11" s="50"/>
      <c r="R11" s="6"/>
      <c r="S11" s="58"/>
      <c r="T11" s="63" t="str">
        <f t="shared" ca="1" si="0"/>
        <v/>
      </c>
      <c r="U11" s="3" t="str">
        <f t="shared" ca="1" si="1"/>
        <v/>
      </c>
      <c r="V11" s="3" t="str">
        <f t="shared" ca="1" si="2"/>
        <v/>
      </c>
      <c r="W11" s="1" t="str">
        <f t="shared" ca="1" si="3"/>
        <v/>
      </c>
      <c r="X11" s="1" t="str">
        <f t="shared" ca="1" si="4"/>
        <v/>
      </c>
      <c r="Y11" s="3" t="str">
        <f t="shared" ca="1" si="5"/>
        <v/>
      </c>
    </row>
    <row r="12" spans="1:25" s="3" customFormat="1" x14ac:dyDescent="0.4">
      <c r="A12" s="34" t="str">
        <f t="shared" si="6"/>
        <v/>
      </c>
      <c r="B12" s="15"/>
      <c r="C12" s="16"/>
      <c r="D12" s="5"/>
      <c r="E12" s="5"/>
      <c r="F12" s="5"/>
      <c r="G12" s="5"/>
      <c r="H12" s="5"/>
      <c r="I12" s="17"/>
      <c r="J12" s="16"/>
      <c r="K12" s="5"/>
      <c r="L12" s="5"/>
      <c r="M12" s="5"/>
      <c r="N12" s="5"/>
      <c r="O12" s="5"/>
      <c r="P12" s="17"/>
      <c r="Q12" s="50"/>
      <c r="R12" s="6"/>
      <c r="S12" s="58"/>
      <c r="T12" s="63" t="str">
        <f t="shared" ca="1" si="0"/>
        <v/>
      </c>
      <c r="U12" s="3" t="str">
        <f t="shared" ca="1" si="1"/>
        <v/>
      </c>
      <c r="V12" s="3" t="str">
        <f t="shared" ca="1" si="2"/>
        <v/>
      </c>
      <c r="W12" s="1" t="str">
        <f t="shared" ca="1" si="3"/>
        <v/>
      </c>
      <c r="X12" s="1" t="str">
        <f t="shared" ca="1" si="4"/>
        <v/>
      </c>
      <c r="Y12" s="3" t="str">
        <f t="shared" ca="1" si="5"/>
        <v/>
      </c>
    </row>
    <row r="13" spans="1:25" s="3" customFormat="1" x14ac:dyDescent="0.4">
      <c r="A13" s="34" t="str">
        <f t="shared" si="6"/>
        <v/>
      </c>
      <c r="B13" s="15"/>
      <c r="C13" s="16"/>
      <c r="D13" s="5"/>
      <c r="E13" s="5"/>
      <c r="F13" s="5"/>
      <c r="G13" s="5"/>
      <c r="H13" s="5"/>
      <c r="I13" s="17"/>
      <c r="J13" s="16"/>
      <c r="K13" s="5"/>
      <c r="L13" s="5"/>
      <c r="M13" s="5"/>
      <c r="N13" s="5"/>
      <c r="O13" s="5"/>
      <c r="P13" s="17"/>
      <c r="Q13" s="50"/>
      <c r="R13" s="6"/>
      <c r="S13" s="58"/>
      <c r="T13" s="63" t="str">
        <f t="shared" ca="1" si="0"/>
        <v/>
      </c>
      <c r="U13" s="3" t="str">
        <f t="shared" ca="1" si="1"/>
        <v/>
      </c>
      <c r="V13" s="3" t="str">
        <f t="shared" ca="1" si="2"/>
        <v/>
      </c>
      <c r="W13" s="1" t="str">
        <f t="shared" ca="1" si="3"/>
        <v/>
      </c>
      <c r="X13" s="1" t="str">
        <f t="shared" ca="1" si="4"/>
        <v/>
      </c>
      <c r="Y13" s="3" t="str">
        <f t="shared" ca="1" si="5"/>
        <v/>
      </c>
    </row>
    <row r="14" spans="1:25" s="3" customFormat="1" x14ac:dyDescent="0.4">
      <c r="A14" s="34" t="str">
        <f t="shared" si="6"/>
        <v/>
      </c>
      <c r="B14" s="15"/>
      <c r="C14" s="16"/>
      <c r="D14" s="5"/>
      <c r="E14" s="5"/>
      <c r="F14" s="5"/>
      <c r="G14" s="5"/>
      <c r="H14" s="5"/>
      <c r="I14" s="17"/>
      <c r="J14" s="16"/>
      <c r="K14" s="5"/>
      <c r="L14" s="5"/>
      <c r="M14" s="5"/>
      <c r="N14" s="5"/>
      <c r="O14" s="5"/>
      <c r="P14" s="17"/>
      <c r="Q14" s="50"/>
      <c r="R14" s="6"/>
      <c r="S14" s="58"/>
      <c r="T14" s="63" t="str">
        <f t="shared" ca="1" si="0"/>
        <v/>
      </c>
      <c r="U14" s="3" t="str">
        <f t="shared" ca="1" si="1"/>
        <v/>
      </c>
      <c r="V14" s="3" t="str">
        <f t="shared" ca="1" si="2"/>
        <v/>
      </c>
      <c r="W14" s="1" t="str">
        <f t="shared" ca="1" si="3"/>
        <v/>
      </c>
      <c r="X14" s="1" t="str">
        <f t="shared" ca="1" si="4"/>
        <v/>
      </c>
      <c r="Y14" s="3" t="str">
        <f t="shared" ca="1" si="5"/>
        <v/>
      </c>
    </row>
    <row r="15" spans="1:25" s="3" customFormat="1" x14ac:dyDescent="0.4">
      <c r="A15" s="34" t="str">
        <f t="shared" si="6"/>
        <v/>
      </c>
      <c r="B15" s="15"/>
      <c r="C15" s="16"/>
      <c r="D15" s="5"/>
      <c r="E15" s="5"/>
      <c r="F15" s="5"/>
      <c r="G15" s="5"/>
      <c r="H15" s="5"/>
      <c r="I15" s="17"/>
      <c r="J15" s="16"/>
      <c r="K15" s="5"/>
      <c r="L15" s="5"/>
      <c r="M15" s="5"/>
      <c r="N15" s="5"/>
      <c r="O15" s="5"/>
      <c r="P15" s="17"/>
      <c r="Q15" s="50"/>
      <c r="R15" s="6"/>
      <c r="S15" s="58"/>
      <c r="T15" s="63" t="str">
        <f t="shared" ca="1" si="0"/>
        <v/>
      </c>
      <c r="U15" s="3" t="str">
        <f t="shared" ca="1" si="1"/>
        <v/>
      </c>
      <c r="V15" s="3" t="str">
        <f t="shared" ca="1" si="2"/>
        <v/>
      </c>
      <c r="W15" s="1" t="str">
        <f t="shared" ca="1" si="3"/>
        <v/>
      </c>
      <c r="X15" s="1" t="str">
        <f t="shared" ca="1" si="4"/>
        <v/>
      </c>
      <c r="Y15" s="3" t="str">
        <f t="shared" ca="1" si="5"/>
        <v/>
      </c>
    </row>
    <row r="16" spans="1:25" s="3" customFormat="1" x14ac:dyDescent="0.4">
      <c r="A16" s="34" t="str">
        <f t="shared" si="6"/>
        <v/>
      </c>
      <c r="B16" s="15"/>
      <c r="C16" s="16"/>
      <c r="D16" s="5"/>
      <c r="E16" s="5"/>
      <c r="F16" s="5"/>
      <c r="G16" s="5"/>
      <c r="H16" s="5"/>
      <c r="I16" s="17"/>
      <c r="J16" s="16"/>
      <c r="K16" s="5"/>
      <c r="L16" s="5"/>
      <c r="M16" s="5"/>
      <c r="N16" s="5"/>
      <c r="O16" s="5"/>
      <c r="P16" s="17"/>
      <c r="Q16" s="50"/>
      <c r="R16" s="6"/>
      <c r="S16" s="58"/>
      <c r="T16" s="63" t="str">
        <f t="shared" ca="1" si="0"/>
        <v/>
      </c>
      <c r="U16" s="3" t="str">
        <f t="shared" ca="1" si="1"/>
        <v/>
      </c>
      <c r="V16" s="3" t="str">
        <f t="shared" ca="1" si="2"/>
        <v/>
      </c>
      <c r="W16" s="1" t="str">
        <f t="shared" ca="1" si="3"/>
        <v/>
      </c>
      <c r="X16" s="1" t="str">
        <f t="shared" ca="1" si="4"/>
        <v/>
      </c>
      <c r="Y16" s="3" t="str">
        <f t="shared" ca="1" si="5"/>
        <v/>
      </c>
    </row>
    <row r="17" spans="1:25" s="3" customFormat="1" x14ac:dyDescent="0.4">
      <c r="A17" s="34" t="str">
        <f t="shared" si="6"/>
        <v/>
      </c>
      <c r="B17" s="15"/>
      <c r="C17" s="16"/>
      <c r="D17" s="5"/>
      <c r="E17" s="5"/>
      <c r="F17" s="5"/>
      <c r="G17" s="5"/>
      <c r="H17" s="5"/>
      <c r="I17" s="17"/>
      <c r="J17" s="16"/>
      <c r="K17" s="5"/>
      <c r="L17" s="5"/>
      <c r="M17" s="5"/>
      <c r="N17" s="5"/>
      <c r="O17" s="5"/>
      <c r="P17" s="17"/>
      <c r="Q17" s="50"/>
      <c r="R17" s="6"/>
      <c r="S17" s="58"/>
      <c r="T17" s="63" t="str">
        <f t="shared" ca="1" si="0"/>
        <v/>
      </c>
      <c r="U17" s="3" t="str">
        <f t="shared" ca="1" si="1"/>
        <v/>
      </c>
      <c r="V17" s="3" t="str">
        <f t="shared" ca="1" si="2"/>
        <v/>
      </c>
      <c r="W17" s="1" t="str">
        <f t="shared" ca="1" si="3"/>
        <v/>
      </c>
      <c r="X17" s="1" t="str">
        <f t="shared" ca="1" si="4"/>
        <v/>
      </c>
      <c r="Y17" s="3" t="str">
        <f t="shared" ca="1" si="5"/>
        <v/>
      </c>
    </row>
    <row r="18" spans="1:25" s="3" customFormat="1" x14ac:dyDescent="0.4">
      <c r="A18" s="34" t="str">
        <f t="shared" si="6"/>
        <v/>
      </c>
      <c r="B18" s="15"/>
      <c r="C18" s="16"/>
      <c r="D18" s="5"/>
      <c r="E18" s="5"/>
      <c r="F18" s="5"/>
      <c r="G18" s="5"/>
      <c r="H18" s="5"/>
      <c r="I18" s="17"/>
      <c r="J18" s="16"/>
      <c r="K18" s="5"/>
      <c r="L18" s="5"/>
      <c r="M18" s="5"/>
      <c r="N18" s="5"/>
      <c r="O18" s="5"/>
      <c r="P18" s="17"/>
      <c r="Q18" s="50"/>
      <c r="R18" s="6"/>
      <c r="S18" s="58"/>
      <c r="T18" s="63" t="str">
        <f t="shared" ca="1" si="0"/>
        <v/>
      </c>
      <c r="U18" s="3" t="str">
        <f t="shared" ca="1" si="1"/>
        <v/>
      </c>
      <c r="V18" s="3" t="str">
        <f t="shared" ca="1" si="2"/>
        <v/>
      </c>
      <c r="W18" s="1" t="str">
        <f t="shared" ca="1" si="3"/>
        <v/>
      </c>
      <c r="X18" s="1" t="str">
        <f t="shared" ca="1" si="4"/>
        <v/>
      </c>
      <c r="Y18" s="3" t="str">
        <f t="shared" ca="1" si="5"/>
        <v/>
      </c>
    </row>
    <row r="19" spans="1:25" s="3" customFormat="1" x14ac:dyDescent="0.4">
      <c r="A19" s="34" t="str">
        <f t="shared" si="6"/>
        <v/>
      </c>
      <c r="B19" s="15"/>
      <c r="C19" s="16"/>
      <c r="D19" s="5"/>
      <c r="E19" s="5"/>
      <c r="F19" s="5"/>
      <c r="G19" s="5"/>
      <c r="H19" s="5"/>
      <c r="I19" s="17"/>
      <c r="J19" s="16"/>
      <c r="K19" s="5"/>
      <c r="L19" s="5"/>
      <c r="M19" s="5"/>
      <c r="N19" s="5"/>
      <c r="O19" s="5"/>
      <c r="P19" s="17"/>
      <c r="Q19" s="50"/>
      <c r="R19" s="6"/>
      <c r="S19" s="58"/>
      <c r="T19" s="63" t="str">
        <f t="shared" ca="1" si="0"/>
        <v/>
      </c>
      <c r="U19" s="3" t="str">
        <f t="shared" ca="1" si="1"/>
        <v/>
      </c>
      <c r="V19" s="3" t="str">
        <f t="shared" ca="1" si="2"/>
        <v/>
      </c>
      <c r="W19" s="1" t="str">
        <f t="shared" ca="1" si="3"/>
        <v/>
      </c>
      <c r="X19" s="1" t="str">
        <f t="shared" ca="1" si="4"/>
        <v/>
      </c>
      <c r="Y19" s="3" t="str">
        <f t="shared" ca="1" si="5"/>
        <v/>
      </c>
    </row>
    <row r="20" spans="1:25" s="3" customFormat="1" x14ac:dyDescent="0.4">
      <c r="A20" s="34" t="str">
        <f t="shared" si="6"/>
        <v/>
      </c>
      <c r="B20" s="15"/>
      <c r="C20" s="16"/>
      <c r="D20" s="5"/>
      <c r="E20" s="5"/>
      <c r="F20" s="5"/>
      <c r="G20" s="5"/>
      <c r="H20" s="5"/>
      <c r="I20" s="17"/>
      <c r="J20" s="16"/>
      <c r="K20" s="5"/>
      <c r="L20" s="5"/>
      <c r="M20" s="5"/>
      <c r="N20" s="5"/>
      <c r="O20" s="5"/>
      <c r="P20" s="17"/>
      <c r="Q20" s="50"/>
      <c r="R20" s="6"/>
      <c r="S20" s="58"/>
      <c r="T20" s="63" t="str">
        <f t="shared" ca="1" si="0"/>
        <v/>
      </c>
      <c r="U20" s="3" t="str">
        <f t="shared" ca="1" si="1"/>
        <v/>
      </c>
      <c r="V20" s="3" t="str">
        <f t="shared" ca="1" si="2"/>
        <v/>
      </c>
      <c r="W20" s="1" t="str">
        <f t="shared" ca="1" si="3"/>
        <v/>
      </c>
      <c r="X20" s="1" t="str">
        <f t="shared" ca="1" si="4"/>
        <v/>
      </c>
      <c r="Y20" s="3" t="str">
        <f t="shared" ca="1" si="5"/>
        <v/>
      </c>
    </row>
    <row r="21" spans="1:25" s="3" customFormat="1" x14ac:dyDescent="0.4">
      <c r="A21" s="34" t="str">
        <f t="shared" si="6"/>
        <v/>
      </c>
      <c r="B21" s="15"/>
      <c r="C21" s="16"/>
      <c r="D21" s="5"/>
      <c r="E21" s="5"/>
      <c r="F21" s="5"/>
      <c r="G21" s="5"/>
      <c r="H21" s="5"/>
      <c r="I21" s="17"/>
      <c r="J21" s="16"/>
      <c r="K21" s="5"/>
      <c r="L21" s="5"/>
      <c r="M21" s="5"/>
      <c r="N21" s="5"/>
      <c r="O21" s="5"/>
      <c r="P21" s="17"/>
      <c r="Q21" s="50"/>
      <c r="R21" s="6"/>
      <c r="S21" s="58"/>
      <c r="T21" s="63" t="str">
        <f t="shared" ca="1" si="0"/>
        <v/>
      </c>
      <c r="U21" s="3" t="str">
        <f t="shared" ca="1" si="1"/>
        <v/>
      </c>
      <c r="V21" s="3" t="str">
        <f t="shared" ca="1" si="2"/>
        <v/>
      </c>
      <c r="W21" s="1" t="str">
        <f t="shared" ca="1" si="3"/>
        <v/>
      </c>
      <c r="X21" s="1" t="str">
        <f t="shared" ca="1" si="4"/>
        <v/>
      </c>
      <c r="Y21" s="3" t="str">
        <f t="shared" ca="1" si="5"/>
        <v/>
      </c>
    </row>
    <row r="22" spans="1:25" s="3" customFormat="1" x14ac:dyDescent="0.4">
      <c r="A22" s="34" t="str">
        <f t="shared" si="6"/>
        <v/>
      </c>
      <c r="B22" s="15"/>
      <c r="C22" s="16"/>
      <c r="D22" s="5"/>
      <c r="E22" s="5"/>
      <c r="F22" s="5"/>
      <c r="G22" s="5"/>
      <c r="H22" s="5"/>
      <c r="I22" s="17"/>
      <c r="J22" s="16"/>
      <c r="K22" s="5"/>
      <c r="L22" s="5"/>
      <c r="M22" s="5"/>
      <c r="N22" s="5"/>
      <c r="O22" s="5"/>
      <c r="P22" s="17"/>
      <c r="Q22" s="50"/>
      <c r="R22" s="6"/>
      <c r="S22" s="58"/>
      <c r="T22" s="63" t="str">
        <f t="shared" ca="1" si="0"/>
        <v/>
      </c>
      <c r="U22" s="3" t="str">
        <f t="shared" ca="1" si="1"/>
        <v/>
      </c>
      <c r="V22" s="3" t="str">
        <f t="shared" ca="1" si="2"/>
        <v/>
      </c>
      <c r="W22" s="1" t="str">
        <f t="shared" ca="1" si="3"/>
        <v/>
      </c>
      <c r="X22" s="1" t="str">
        <f t="shared" ca="1" si="4"/>
        <v/>
      </c>
      <c r="Y22" s="3" t="str">
        <f t="shared" ca="1" si="5"/>
        <v/>
      </c>
    </row>
    <row r="23" spans="1:25" s="3" customFormat="1" x14ac:dyDescent="0.4">
      <c r="A23" s="34" t="str">
        <f t="shared" si="6"/>
        <v/>
      </c>
      <c r="B23" s="15"/>
      <c r="C23" s="16"/>
      <c r="D23" s="5"/>
      <c r="E23" s="5"/>
      <c r="F23" s="5"/>
      <c r="G23" s="5"/>
      <c r="H23" s="5"/>
      <c r="I23" s="17"/>
      <c r="J23" s="16"/>
      <c r="K23" s="5"/>
      <c r="L23" s="5"/>
      <c r="M23" s="5"/>
      <c r="N23" s="5"/>
      <c r="O23" s="5"/>
      <c r="P23" s="17"/>
      <c r="Q23" s="50"/>
      <c r="R23" s="6"/>
      <c r="S23" s="58"/>
      <c r="T23" s="63" t="str">
        <f t="shared" ca="1" si="0"/>
        <v/>
      </c>
      <c r="U23" s="3" t="str">
        <f t="shared" ca="1" si="1"/>
        <v/>
      </c>
      <c r="V23" s="3" t="str">
        <f t="shared" ca="1" si="2"/>
        <v/>
      </c>
      <c r="W23" s="1" t="str">
        <f t="shared" ca="1" si="3"/>
        <v/>
      </c>
      <c r="X23" s="1" t="str">
        <f t="shared" ca="1" si="4"/>
        <v/>
      </c>
      <c r="Y23" s="3" t="str">
        <f t="shared" ca="1" si="5"/>
        <v/>
      </c>
    </row>
    <row r="24" spans="1:25" s="3" customFormat="1" x14ac:dyDescent="0.4">
      <c r="A24" s="34" t="str">
        <f t="shared" si="6"/>
        <v/>
      </c>
      <c r="B24" s="15"/>
      <c r="C24" s="16"/>
      <c r="D24" s="5"/>
      <c r="E24" s="5"/>
      <c r="F24" s="5"/>
      <c r="G24" s="5"/>
      <c r="H24" s="5"/>
      <c r="I24" s="17"/>
      <c r="J24" s="16"/>
      <c r="K24" s="5"/>
      <c r="L24" s="5"/>
      <c r="M24" s="5"/>
      <c r="N24" s="5"/>
      <c r="O24" s="5"/>
      <c r="P24" s="17"/>
      <c r="Q24" s="50"/>
      <c r="R24" s="6"/>
      <c r="S24" s="58"/>
      <c r="T24" s="63" t="str">
        <f t="shared" ca="1" si="0"/>
        <v/>
      </c>
      <c r="U24" s="3" t="str">
        <f t="shared" ca="1" si="1"/>
        <v/>
      </c>
      <c r="V24" s="3" t="str">
        <f t="shared" ca="1" si="2"/>
        <v/>
      </c>
      <c r="W24" s="1" t="str">
        <f t="shared" ca="1" si="3"/>
        <v/>
      </c>
      <c r="X24" s="1" t="str">
        <f t="shared" ca="1" si="4"/>
        <v/>
      </c>
      <c r="Y24" s="3" t="str">
        <f t="shared" ca="1" si="5"/>
        <v/>
      </c>
    </row>
    <row r="25" spans="1:25" s="3" customFormat="1" x14ac:dyDescent="0.4">
      <c r="A25" s="34" t="str">
        <f t="shared" si="6"/>
        <v/>
      </c>
      <c r="B25" s="15"/>
      <c r="C25" s="16"/>
      <c r="D25" s="5"/>
      <c r="E25" s="5"/>
      <c r="F25" s="5"/>
      <c r="G25" s="5"/>
      <c r="H25" s="5"/>
      <c r="I25" s="17"/>
      <c r="J25" s="16"/>
      <c r="K25" s="5"/>
      <c r="L25" s="5"/>
      <c r="M25" s="5"/>
      <c r="N25" s="5"/>
      <c r="O25" s="5"/>
      <c r="P25" s="17"/>
      <c r="Q25" s="50"/>
      <c r="R25" s="6"/>
      <c r="S25" s="58"/>
      <c r="T25" s="63" t="str">
        <f t="shared" ca="1" si="0"/>
        <v/>
      </c>
      <c r="U25" s="3" t="str">
        <f t="shared" ca="1" si="1"/>
        <v/>
      </c>
      <c r="V25" s="3" t="str">
        <f t="shared" ca="1" si="2"/>
        <v/>
      </c>
      <c r="W25" s="1" t="str">
        <f t="shared" ca="1" si="3"/>
        <v/>
      </c>
      <c r="X25" s="1" t="str">
        <f t="shared" ca="1" si="4"/>
        <v/>
      </c>
      <c r="Y25" s="3" t="str">
        <f t="shared" ca="1" si="5"/>
        <v/>
      </c>
    </row>
    <row r="26" spans="1:25" s="3" customFormat="1" x14ac:dyDescent="0.4">
      <c r="A26" s="34" t="str">
        <f t="shared" si="6"/>
        <v/>
      </c>
      <c r="B26" s="15"/>
      <c r="C26" s="16"/>
      <c r="D26" s="5"/>
      <c r="E26" s="5"/>
      <c r="F26" s="5"/>
      <c r="G26" s="5"/>
      <c r="H26" s="5"/>
      <c r="I26" s="17"/>
      <c r="J26" s="16"/>
      <c r="K26" s="5"/>
      <c r="L26" s="5"/>
      <c r="M26" s="5"/>
      <c r="N26" s="5"/>
      <c r="O26" s="5"/>
      <c r="P26" s="17"/>
      <c r="Q26" s="50"/>
      <c r="R26" s="6"/>
      <c r="S26" s="58"/>
      <c r="T26" s="63" t="str">
        <f t="shared" ca="1" si="0"/>
        <v/>
      </c>
      <c r="U26" s="3" t="str">
        <f t="shared" ca="1" si="1"/>
        <v/>
      </c>
      <c r="V26" s="3" t="str">
        <f t="shared" ca="1" si="2"/>
        <v/>
      </c>
      <c r="W26" s="1" t="str">
        <f t="shared" ca="1" si="3"/>
        <v/>
      </c>
      <c r="X26" s="1" t="str">
        <f t="shared" ca="1" si="4"/>
        <v/>
      </c>
      <c r="Y26" s="3" t="str">
        <f t="shared" ca="1" si="5"/>
        <v/>
      </c>
    </row>
    <row r="27" spans="1:25" s="3" customFormat="1" x14ac:dyDescent="0.4">
      <c r="A27" s="34" t="str">
        <f t="shared" si="6"/>
        <v/>
      </c>
      <c r="B27" s="15"/>
      <c r="C27" s="16"/>
      <c r="D27" s="5"/>
      <c r="E27" s="5"/>
      <c r="F27" s="5"/>
      <c r="G27" s="5"/>
      <c r="H27" s="5"/>
      <c r="I27" s="17"/>
      <c r="J27" s="16"/>
      <c r="K27" s="5"/>
      <c r="L27" s="5"/>
      <c r="M27" s="5"/>
      <c r="N27" s="5"/>
      <c r="O27" s="5"/>
      <c r="P27" s="17"/>
      <c r="Q27" s="50"/>
      <c r="R27" s="6"/>
      <c r="S27" s="58"/>
      <c r="T27" s="63" t="str">
        <f t="shared" ca="1" si="0"/>
        <v/>
      </c>
      <c r="U27" s="3" t="str">
        <f t="shared" ca="1" si="1"/>
        <v/>
      </c>
      <c r="V27" s="3" t="str">
        <f t="shared" ca="1" si="2"/>
        <v/>
      </c>
      <c r="W27" s="1" t="str">
        <f t="shared" ca="1" si="3"/>
        <v/>
      </c>
      <c r="X27" s="1" t="str">
        <f t="shared" ca="1" si="4"/>
        <v/>
      </c>
      <c r="Y27" s="3" t="str">
        <f t="shared" ca="1" si="5"/>
        <v/>
      </c>
    </row>
    <row r="28" spans="1:25" s="3" customFormat="1" x14ac:dyDescent="0.4">
      <c r="A28" s="34" t="str">
        <f t="shared" si="6"/>
        <v/>
      </c>
      <c r="B28" s="15"/>
      <c r="C28" s="16"/>
      <c r="D28" s="5"/>
      <c r="E28" s="5"/>
      <c r="F28" s="5"/>
      <c r="G28" s="5"/>
      <c r="H28" s="5"/>
      <c r="I28" s="17"/>
      <c r="J28" s="16"/>
      <c r="K28" s="5"/>
      <c r="L28" s="5"/>
      <c r="M28" s="5"/>
      <c r="N28" s="5"/>
      <c r="O28" s="5"/>
      <c r="P28" s="17"/>
      <c r="Q28" s="50"/>
      <c r="R28" s="6"/>
      <c r="S28" s="58"/>
      <c r="T28" s="63" t="str">
        <f t="shared" ca="1" si="0"/>
        <v/>
      </c>
      <c r="U28" s="3" t="str">
        <f t="shared" ca="1" si="1"/>
        <v/>
      </c>
      <c r="V28" s="3" t="str">
        <f t="shared" ca="1" si="2"/>
        <v/>
      </c>
      <c r="W28" s="1" t="str">
        <f t="shared" ca="1" si="3"/>
        <v/>
      </c>
      <c r="X28" s="1" t="str">
        <f t="shared" ca="1" si="4"/>
        <v/>
      </c>
      <c r="Y28" s="3" t="str">
        <f t="shared" ca="1" si="5"/>
        <v/>
      </c>
    </row>
    <row r="29" spans="1:25" s="3" customFormat="1" x14ac:dyDescent="0.4">
      <c r="A29" s="34" t="str">
        <f t="shared" si="6"/>
        <v/>
      </c>
      <c r="B29" s="15"/>
      <c r="C29" s="16"/>
      <c r="D29" s="5"/>
      <c r="E29" s="5"/>
      <c r="F29" s="5"/>
      <c r="G29" s="5"/>
      <c r="H29" s="5"/>
      <c r="I29" s="17"/>
      <c r="J29" s="16"/>
      <c r="K29" s="5"/>
      <c r="L29" s="5"/>
      <c r="M29" s="5"/>
      <c r="N29" s="5"/>
      <c r="O29" s="5"/>
      <c r="P29" s="17"/>
      <c r="Q29" s="50"/>
      <c r="R29" s="6"/>
      <c r="S29" s="58"/>
      <c r="T29" s="63" t="str">
        <f t="shared" ca="1" si="0"/>
        <v/>
      </c>
      <c r="U29" s="3" t="str">
        <f t="shared" ca="1" si="1"/>
        <v/>
      </c>
      <c r="V29" s="3" t="str">
        <f t="shared" ca="1" si="2"/>
        <v/>
      </c>
      <c r="W29" s="1" t="str">
        <f t="shared" ca="1" si="3"/>
        <v/>
      </c>
      <c r="X29" s="1" t="str">
        <f t="shared" ca="1" si="4"/>
        <v/>
      </c>
      <c r="Y29" s="3" t="str">
        <f t="shared" ca="1" si="5"/>
        <v/>
      </c>
    </row>
    <row r="30" spans="1:25" s="3" customFormat="1" x14ac:dyDescent="0.4">
      <c r="A30" s="34" t="str">
        <f t="shared" si="6"/>
        <v/>
      </c>
      <c r="B30" s="15"/>
      <c r="C30" s="16"/>
      <c r="D30" s="5"/>
      <c r="E30" s="5"/>
      <c r="F30" s="5"/>
      <c r="G30" s="5"/>
      <c r="H30" s="5"/>
      <c r="I30" s="17"/>
      <c r="J30" s="16"/>
      <c r="K30" s="5"/>
      <c r="L30" s="5"/>
      <c r="M30" s="5"/>
      <c r="N30" s="5"/>
      <c r="O30" s="5"/>
      <c r="P30" s="17"/>
      <c r="Q30" s="50"/>
      <c r="R30" s="6"/>
      <c r="S30" s="58"/>
      <c r="T30" s="63" t="str">
        <f t="shared" ca="1" si="0"/>
        <v/>
      </c>
      <c r="U30" s="3" t="str">
        <f t="shared" ca="1" si="1"/>
        <v/>
      </c>
      <c r="V30" s="3" t="str">
        <f t="shared" ca="1" si="2"/>
        <v/>
      </c>
      <c r="W30" s="1" t="str">
        <f t="shared" ca="1" si="3"/>
        <v/>
      </c>
      <c r="X30" s="1" t="str">
        <f t="shared" ca="1" si="4"/>
        <v/>
      </c>
      <c r="Y30" s="3" t="str">
        <f t="shared" ca="1" si="5"/>
        <v/>
      </c>
    </row>
    <row r="31" spans="1:25" s="3" customFormat="1" x14ac:dyDescent="0.4">
      <c r="A31" s="34" t="str">
        <f t="shared" si="6"/>
        <v/>
      </c>
      <c r="B31" s="15"/>
      <c r="C31" s="16"/>
      <c r="D31" s="5"/>
      <c r="E31" s="5"/>
      <c r="F31" s="5"/>
      <c r="G31" s="5"/>
      <c r="H31" s="5"/>
      <c r="I31" s="17"/>
      <c r="J31" s="16"/>
      <c r="K31" s="5"/>
      <c r="L31" s="5"/>
      <c r="M31" s="5"/>
      <c r="N31" s="5"/>
      <c r="O31" s="5"/>
      <c r="P31" s="17"/>
      <c r="Q31" s="50"/>
      <c r="R31" s="6"/>
      <c r="S31" s="58"/>
      <c r="T31" s="63" t="str">
        <f t="shared" ca="1" si="0"/>
        <v/>
      </c>
      <c r="U31" s="3" t="str">
        <f t="shared" ca="1" si="1"/>
        <v/>
      </c>
      <c r="V31" s="3" t="str">
        <f t="shared" ca="1" si="2"/>
        <v/>
      </c>
      <c r="W31" s="1" t="str">
        <f t="shared" ca="1" si="3"/>
        <v/>
      </c>
      <c r="X31" s="1" t="str">
        <f t="shared" ca="1" si="4"/>
        <v/>
      </c>
      <c r="Y31" s="3" t="str">
        <f t="shared" ca="1" si="5"/>
        <v/>
      </c>
    </row>
    <row r="32" spans="1:25" s="3" customFormat="1" x14ac:dyDescent="0.4">
      <c r="A32" s="34" t="str">
        <f t="shared" si="6"/>
        <v/>
      </c>
      <c r="B32" s="15"/>
      <c r="C32" s="16"/>
      <c r="D32" s="5"/>
      <c r="E32" s="5"/>
      <c r="F32" s="5"/>
      <c r="G32" s="5"/>
      <c r="H32" s="5"/>
      <c r="I32" s="17"/>
      <c r="J32" s="16"/>
      <c r="K32" s="5"/>
      <c r="L32" s="5"/>
      <c r="M32" s="5"/>
      <c r="N32" s="5"/>
      <c r="O32" s="5"/>
      <c r="P32" s="17"/>
      <c r="Q32" s="50"/>
      <c r="R32" s="6"/>
      <c r="S32" s="58"/>
      <c r="T32" s="63" t="str">
        <f t="shared" ca="1" si="0"/>
        <v/>
      </c>
      <c r="U32" s="3" t="str">
        <f t="shared" ca="1" si="1"/>
        <v/>
      </c>
      <c r="V32" s="3" t="str">
        <f t="shared" ca="1" si="2"/>
        <v/>
      </c>
      <c r="W32" s="1" t="str">
        <f t="shared" ca="1" si="3"/>
        <v/>
      </c>
      <c r="X32" s="1" t="str">
        <f t="shared" ca="1" si="4"/>
        <v/>
      </c>
      <c r="Y32" s="3" t="str">
        <f t="shared" ca="1" si="5"/>
        <v/>
      </c>
    </row>
    <row r="33" spans="1:25" s="3" customFormat="1" x14ac:dyDescent="0.4">
      <c r="A33" s="34" t="str">
        <f t="shared" si="6"/>
        <v/>
      </c>
      <c r="B33" s="15"/>
      <c r="C33" s="16"/>
      <c r="D33" s="5"/>
      <c r="E33" s="5"/>
      <c r="F33" s="5"/>
      <c r="G33" s="5"/>
      <c r="H33" s="5"/>
      <c r="I33" s="17"/>
      <c r="J33" s="16"/>
      <c r="K33" s="5"/>
      <c r="L33" s="5"/>
      <c r="M33" s="5"/>
      <c r="N33" s="5"/>
      <c r="O33" s="5"/>
      <c r="P33" s="17"/>
      <c r="Q33" s="50"/>
      <c r="R33" s="6"/>
      <c r="S33" s="58"/>
      <c r="T33" s="63" t="str">
        <f t="shared" ca="1" si="0"/>
        <v/>
      </c>
      <c r="U33" s="3" t="str">
        <f t="shared" ca="1" si="1"/>
        <v/>
      </c>
      <c r="V33" s="3" t="str">
        <f t="shared" ca="1" si="2"/>
        <v/>
      </c>
      <c r="W33" s="1" t="str">
        <f t="shared" ca="1" si="3"/>
        <v/>
      </c>
      <c r="X33" s="1" t="str">
        <f t="shared" ca="1" si="4"/>
        <v/>
      </c>
      <c r="Y33" s="3" t="str">
        <f t="shared" ca="1" si="5"/>
        <v/>
      </c>
    </row>
    <row r="34" spans="1:25" s="3" customFormat="1" x14ac:dyDescent="0.4">
      <c r="A34" s="34" t="str">
        <f t="shared" si="6"/>
        <v/>
      </c>
      <c r="B34" s="15"/>
      <c r="C34" s="16"/>
      <c r="D34" s="5"/>
      <c r="E34" s="5"/>
      <c r="F34" s="5"/>
      <c r="G34" s="5"/>
      <c r="H34" s="5"/>
      <c r="I34" s="17"/>
      <c r="J34" s="16"/>
      <c r="K34" s="5"/>
      <c r="L34" s="5"/>
      <c r="M34" s="5"/>
      <c r="N34" s="5"/>
      <c r="O34" s="5"/>
      <c r="P34" s="17"/>
      <c r="Q34" s="50"/>
      <c r="R34" s="6"/>
      <c r="S34" s="58"/>
      <c r="T34" s="63" t="str">
        <f t="shared" ca="1" si="0"/>
        <v/>
      </c>
      <c r="U34" s="3" t="str">
        <f t="shared" ca="1" si="1"/>
        <v/>
      </c>
      <c r="V34" s="3" t="str">
        <f t="shared" ca="1" si="2"/>
        <v/>
      </c>
      <c r="W34" s="1" t="str">
        <f t="shared" ca="1" si="3"/>
        <v/>
      </c>
      <c r="X34" s="1" t="str">
        <f t="shared" ca="1" si="4"/>
        <v/>
      </c>
      <c r="Y34" s="3" t="str">
        <f t="shared" ca="1" si="5"/>
        <v/>
      </c>
    </row>
    <row r="35" spans="1:25" s="3" customFormat="1" x14ac:dyDescent="0.4">
      <c r="A35" s="34" t="str">
        <f t="shared" si="6"/>
        <v/>
      </c>
      <c r="B35" s="15"/>
      <c r="C35" s="16"/>
      <c r="D35" s="5"/>
      <c r="E35" s="5"/>
      <c r="F35" s="5"/>
      <c r="G35" s="5"/>
      <c r="H35" s="5"/>
      <c r="I35" s="17"/>
      <c r="J35" s="16"/>
      <c r="K35" s="5"/>
      <c r="L35" s="5"/>
      <c r="M35" s="5"/>
      <c r="N35" s="5"/>
      <c r="O35" s="5"/>
      <c r="P35" s="17"/>
      <c r="Q35" s="50"/>
      <c r="R35" s="6"/>
      <c r="S35" s="58"/>
      <c r="T35" s="63" t="str">
        <f t="shared" ca="1" si="0"/>
        <v/>
      </c>
      <c r="U35" s="3" t="str">
        <f t="shared" ca="1" si="1"/>
        <v/>
      </c>
      <c r="V35" s="3" t="str">
        <f t="shared" ca="1" si="2"/>
        <v/>
      </c>
      <c r="W35" s="1" t="str">
        <f t="shared" ca="1" si="3"/>
        <v/>
      </c>
      <c r="X35" s="1" t="str">
        <f t="shared" ca="1" si="4"/>
        <v/>
      </c>
      <c r="Y35" s="3" t="str">
        <f t="shared" ca="1" si="5"/>
        <v/>
      </c>
    </row>
    <row r="36" spans="1:25" s="3" customFormat="1" x14ac:dyDescent="0.4">
      <c r="A36" s="34" t="str">
        <f t="shared" si="6"/>
        <v/>
      </c>
      <c r="B36" s="15"/>
      <c r="C36" s="16"/>
      <c r="D36" s="5"/>
      <c r="E36" s="5"/>
      <c r="F36" s="5"/>
      <c r="G36" s="5"/>
      <c r="H36" s="5"/>
      <c r="I36" s="17"/>
      <c r="J36" s="16"/>
      <c r="K36" s="5"/>
      <c r="L36" s="5"/>
      <c r="M36" s="5"/>
      <c r="N36" s="5"/>
      <c r="O36" s="5"/>
      <c r="P36" s="17"/>
      <c r="Q36" s="50"/>
      <c r="R36" s="6"/>
      <c r="S36" s="58"/>
      <c r="T36" s="63" t="str">
        <f t="shared" ca="1" si="0"/>
        <v/>
      </c>
      <c r="U36" s="3" t="str">
        <f t="shared" ca="1" si="1"/>
        <v/>
      </c>
      <c r="V36" s="3" t="str">
        <f t="shared" ca="1" si="2"/>
        <v/>
      </c>
      <c r="W36" s="1" t="str">
        <f t="shared" ca="1" si="3"/>
        <v/>
      </c>
      <c r="X36" s="1" t="str">
        <f t="shared" ca="1" si="4"/>
        <v/>
      </c>
      <c r="Y36" s="3" t="str">
        <f t="shared" ca="1" si="5"/>
        <v/>
      </c>
    </row>
    <row r="37" spans="1:25" s="3" customFormat="1" x14ac:dyDescent="0.4">
      <c r="A37" s="34" t="str">
        <f t="shared" si="6"/>
        <v/>
      </c>
      <c r="B37" s="15"/>
      <c r="C37" s="16"/>
      <c r="D37" s="5"/>
      <c r="E37" s="5"/>
      <c r="F37" s="5"/>
      <c r="G37" s="5"/>
      <c r="H37" s="5"/>
      <c r="I37" s="17"/>
      <c r="J37" s="16"/>
      <c r="K37" s="5"/>
      <c r="L37" s="5"/>
      <c r="M37" s="5"/>
      <c r="N37" s="5"/>
      <c r="O37" s="5"/>
      <c r="P37" s="17"/>
      <c r="Q37" s="50"/>
      <c r="R37" s="6"/>
      <c r="S37" s="58"/>
      <c r="T37" s="63" t="str">
        <f t="shared" ref="T37:T68" ca="1" si="7">IF(ISNA(VLOOKUP(E37,地址類別Mapping,2,FALSE)),"",VLOOKUP(E37,地址類別Mapping,2,FALSE))</f>
        <v/>
      </c>
      <c r="U37" s="3" t="str">
        <f t="shared" ref="U37:U68" ca="1" si="8">IF(ISNA(VLOOKUP(F37&amp;"-"&amp;G37,郵遞區號,2,FALSE)),"",VLOOKUP(F37&amp;"-"&amp;G37,郵遞區號,2,FALSE))</f>
        <v/>
      </c>
      <c r="V37" s="3" t="str">
        <f t="shared" ref="V37:V68" ca="1" si="9">IF(ISNA(VLOOKUP(M37&amp;"-"&amp;N37,郵遞區號,2,FALSE)),"",VLOOKUP(M37&amp;"-"&amp;N37,郵遞區號,2,FALSE))</f>
        <v/>
      </c>
      <c r="W37" s="1" t="str">
        <f t="shared" ref="W37:W68" ca="1" si="10">IF(ISNA(VLOOKUP(B37,郵件種類MAPPING,2,FALSE)),"",VLOOKUP(B37,郵件種類MAPPING,2,FALSE))</f>
        <v/>
      </c>
      <c r="X37" s="1" t="str">
        <f t="shared" ref="X37:X68" ca="1" si="11">IF(ISNA(VLOOKUP(R37,箱袋種類Mapping,2,FALSE)),"",VLOOKUP(R37,箱袋種類Mapping,2,FALSE))</f>
        <v/>
      </c>
      <c r="Y37" s="3" t="str">
        <f t="shared" ref="Y37:Y68" ca="1" si="12">IF(ISNA(VLOOKUP(B37,郵件種類MAPPING,2,FALSE)),"","203")</f>
        <v/>
      </c>
    </row>
    <row r="38" spans="1:25" s="3" customFormat="1" x14ac:dyDescent="0.4">
      <c r="A38" s="34" t="str">
        <f t="shared" si="6"/>
        <v/>
      </c>
      <c r="B38" s="15"/>
      <c r="C38" s="16"/>
      <c r="D38" s="5"/>
      <c r="E38" s="5"/>
      <c r="F38" s="5"/>
      <c r="G38" s="5"/>
      <c r="H38" s="5"/>
      <c r="I38" s="17"/>
      <c r="J38" s="16"/>
      <c r="K38" s="5"/>
      <c r="L38" s="5"/>
      <c r="M38" s="5"/>
      <c r="N38" s="5"/>
      <c r="O38" s="5"/>
      <c r="P38" s="17"/>
      <c r="Q38" s="50"/>
      <c r="R38" s="6"/>
      <c r="S38" s="58"/>
      <c r="T38" s="63" t="str">
        <f t="shared" ca="1" si="7"/>
        <v/>
      </c>
      <c r="U38" s="3" t="str">
        <f t="shared" ca="1" si="8"/>
        <v/>
      </c>
      <c r="V38" s="3" t="str">
        <f t="shared" ca="1" si="9"/>
        <v/>
      </c>
      <c r="W38" s="1" t="str">
        <f t="shared" ca="1" si="10"/>
        <v/>
      </c>
      <c r="X38" s="1" t="str">
        <f t="shared" ca="1" si="11"/>
        <v/>
      </c>
      <c r="Y38" s="3" t="str">
        <f t="shared" ca="1" si="12"/>
        <v/>
      </c>
    </row>
    <row r="39" spans="1:25" s="3" customFormat="1" x14ac:dyDescent="0.4">
      <c r="A39" s="34" t="str">
        <f t="shared" si="6"/>
        <v/>
      </c>
      <c r="B39" s="15"/>
      <c r="C39" s="16"/>
      <c r="D39" s="5"/>
      <c r="E39" s="5"/>
      <c r="F39" s="5"/>
      <c r="G39" s="5"/>
      <c r="H39" s="5"/>
      <c r="I39" s="17"/>
      <c r="J39" s="16"/>
      <c r="K39" s="5"/>
      <c r="L39" s="5"/>
      <c r="M39" s="5"/>
      <c r="N39" s="5"/>
      <c r="O39" s="5"/>
      <c r="P39" s="17"/>
      <c r="Q39" s="50"/>
      <c r="R39" s="6"/>
      <c r="S39" s="58"/>
      <c r="T39" s="63" t="str">
        <f t="shared" ca="1" si="7"/>
        <v/>
      </c>
      <c r="U39" s="3" t="str">
        <f t="shared" ca="1" si="8"/>
        <v/>
      </c>
      <c r="V39" s="3" t="str">
        <f t="shared" ca="1" si="9"/>
        <v/>
      </c>
      <c r="W39" s="1" t="str">
        <f t="shared" ca="1" si="10"/>
        <v/>
      </c>
      <c r="X39" s="1" t="str">
        <f t="shared" ca="1" si="11"/>
        <v/>
      </c>
      <c r="Y39" s="3" t="str">
        <f t="shared" ca="1" si="12"/>
        <v/>
      </c>
    </row>
    <row r="40" spans="1:25" s="3" customFormat="1" x14ac:dyDescent="0.4">
      <c r="A40" s="34" t="str">
        <f t="shared" si="6"/>
        <v/>
      </c>
      <c r="B40" s="15"/>
      <c r="C40" s="16"/>
      <c r="D40" s="5"/>
      <c r="E40" s="5"/>
      <c r="F40" s="5"/>
      <c r="G40" s="5"/>
      <c r="H40" s="5"/>
      <c r="I40" s="17"/>
      <c r="J40" s="16"/>
      <c r="K40" s="5"/>
      <c r="L40" s="5"/>
      <c r="M40" s="5"/>
      <c r="N40" s="5"/>
      <c r="O40" s="5"/>
      <c r="P40" s="17"/>
      <c r="Q40" s="50"/>
      <c r="R40" s="6"/>
      <c r="S40" s="58"/>
      <c r="T40" s="63" t="str">
        <f t="shared" ca="1" si="7"/>
        <v/>
      </c>
      <c r="U40" s="3" t="str">
        <f t="shared" ca="1" si="8"/>
        <v/>
      </c>
      <c r="V40" s="3" t="str">
        <f t="shared" ca="1" si="9"/>
        <v/>
      </c>
      <c r="W40" s="1" t="str">
        <f t="shared" ca="1" si="10"/>
        <v/>
      </c>
      <c r="X40" s="1" t="str">
        <f t="shared" ca="1" si="11"/>
        <v/>
      </c>
      <c r="Y40" s="3" t="str">
        <f t="shared" ca="1" si="12"/>
        <v/>
      </c>
    </row>
    <row r="41" spans="1:25" s="3" customFormat="1" x14ac:dyDescent="0.4">
      <c r="A41" s="34" t="str">
        <f t="shared" si="6"/>
        <v/>
      </c>
      <c r="B41" s="15"/>
      <c r="C41" s="16"/>
      <c r="D41" s="5"/>
      <c r="E41" s="5"/>
      <c r="F41" s="5"/>
      <c r="G41" s="5"/>
      <c r="H41" s="5"/>
      <c r="I41" s="17"/>
      <c r="J41" s="16"/>
      <c r="K41" s="5"/>
      <c r="L41" s="5"/>
      <c r="M41" s="5"/>
      <c r="N41" s="5"/>
      <c r="O41" s="5"/>
      <c r="P41" s="17"/>
      <c r="Q41" s="50"/>
      <c r="R41" s="6"/>
      <c r="S41" s="58"/>
      <c r="T41" s="63" t="str">
        <f t="shared" ca="1" si="7"/>
        <v/>
      </c>
      <c r="U41" s="3" t="str">
        <f t="shared" ca="1" si="8"/>
        <v/>
      </c>
      <c r="V41" s="3" t="str">
        <f t="shared" ca="1" si="9"/>
        <v/>
      </c>
      <c r="W41" s="1" t="str">
        <f t="shared" ca="1" si="10"/>
        <v/>
      </c>
      <c r="X41" s="1" t="str">
        <f t="shared" ca="1" si="11"/>
        <v/>
      </c>
      <c r="Y41" s="3" t="str">
        <f t="shared" ca="1" si="12"/>
        <v/>
      </c>
    </row>
    <row r="42" spans="1:25" s="3" customFormat="1" x14ac:dyDescent="0.4">
      <c r="A42" s="34" t="str">
        <f t="shared" si="6"/>
        <v/>
      </c>
      <c r="B42" s="15"/>
      <c r="C42" s="16"/>
      <c r="D42" s="5"/>
      <c r="E42" s="5"/>
      <c r="F42" s="5"/>
      <c r="G42" s="5"/>
      <c r="H42" s="5"/>
      <c r="I42" s="17"/>
      <c r="J42" s="16"/>
      <c r="K42" s="5"/>
      <c r="L42" s="5"/>
      <c r="M42" s="5"/>
      <c r="N42" s="5"/>
      <c r="O42" s="5"/>
      <c r="P42" s="17"/>
      <c r="Q42" s="50"/>
      <c r="R42" s="6"/>
      <c r="S42" s="58"/>
      <c r="T42" s="63" t="str">
        <f t="shared" ca="1" si="7"/>
        <v/>
      </c>
      <c r="U42" s="3" t="str">
        <f t="shared" ca="1" si="8"/>
        <v/>
      </c>
      <c r="V42" s="3" t="str">
        <f t="shared" ca="1" si="9"/>
        <v/>
      </c>
      <c r="W42" s="1" t="str">
        <f t="shared" ca="1" si="10"/>
        <v/>
      </c>
      <c r="X42" s="1" t="str">
        <f t="shared" ca="1" si="11"/>
        <v/>
      </c>
      <c r="Y42" s="3" t="str">
        <f t="shared" ca="1" si="12"/>
        <v/>
      </c>
    </row>
    <row r="43" spans="1:25" s="3" customFormat="1" x14ac:dyDescent="0.4">
      <c r="A43" s="34" t="str">
        <f t="shared" si="6"/>
        <v/>
      </c>
      <c r="B43" s="15"/>
      <c r="C43" s="16"/>
      <c r="D43" s="5"/>
      <c r="E43" s="5"/>
      <c r="F43" s="5"/>
      <c r="G43" s="5"/>
      <c r="H43" s="5"/>
      <c r="I43" s="17"/>
      <c r="J43" s="16"/>
      <c r="K43" s="5"/>
      <c r="L43" s="5"/>
      <c r="M43" s="5"/>
      <c r="N43" s="5"/>
      <c r="O43" s="5"/>
      <c r="P43" s="17"/>
      <c r="Q43" s="50"/>
      <c r="R43" s="6"/>
      <c r="S43" s="58"/>
      <c r="T43" s="63" t="str">
        <f t="shared" ca="1" si="7"/>
        <v/>
      </c>
      <c r="U43" s="3" t="str">
        <f t="shared" ca="1" si="8"/>
        <v/>
      </c>
      <c r="V43" s="3" t="str">
        <f t="shared" ca="1" si="9"/>
        <v/>
      </c>
      <c r="W43" s="1" t="str">
        <f t="shared" ca="1" si="10"/>
        <v/>
      </c>
      <c r="X43" s="1" t="str">
        <f t="shared" ca="1" si="11"/>
        <v/>
      </c>
      <c r="Y43" s="3" t="str">
        <f t="shared" ca="1" si="12"/>
        <v/>
      </c>
    </row>
    <row r="44" spans="1:25" s="3" customFormat="1" x14ac:dyDescent="0.4">
      <c r="A44" s="34" t="str">
        <f t="shared" si="6"/>
        <v/>
      </c>
      <c r="B44" s="15"/>
      <c r="C44" s="16"/>
      <c r="D44" s="5"/>
      <c r="E44" s="5"/>
      <c r="F44" s="5"/>
      <c r="G44" s="5"/>
      <c r="H44" s="5"/>
      <c r="I44" s="17"/>
      <c r="J44" s="16"/>
      <c r="K44" s="5"/>
      <c r="L44" s="5"/>
      <c r="M44" s="5"/>
      <c r="N44" s="5"/>
      <c r="O44" s="5"/>
      <c r="P44" s="17"/>
      <c r="Q44" s="50"/>
      <c r="R44" s="6"/>
      <c r="S44" s="58"/>
      <c r="T44" s="63" t="str">
        <f t="shared" ca="1" si="7"/>
        <v/>
      </c>
      <c r="U44" s="3" t="str">
        <f t="shared" ca="1" si="8"/>
        <v/>
      </c>
      <c r="V44" s="3" t="str">
        <f t="shared" ca="1" si="9"/>
        <v/>
      </c>
      <c r="W44" s="1" t="str">
        <f t="shared" ca="1" si="10"/>
        <v/>
      </c>
      <c r="X44" s="1" t="str">
        <f t="shared" ca="1" si="11"/>
        <v/>
      </c>
      <c r="Y44" s="3" t="str">
        <f t="shared" ca="1" si="12"/>
        <v/>
      </c>
    </row>
    <row r="45" spans="1:25" s="3" customFormat="1" x14ac:dyDescent="0.4">
      <c r="A45" s="34" t="str">
        <f t="shared" si="6"/>
        <v/>
      </c>
      <c r="B45" s="15"/>
      <c r="C45" s="16"/>
      <c r="D45" s="5"/>
      <c r="E45" s="5"/>
      <c r="F45" s="5"/>
      <c r="G45" s="5"/>
      <c r="H45" s="5"/>
      <c r="I45" s="17"/>
      <c r="J45" s="16"/>
      <c r="K45" s="5"/>
      <c r="L45" s="5"/>
      <c r="M45" s="5"/>
      <c r="N45" s="5"/>
      <c r="O45" s="5"/>
      <c r="P45" s="17"/>
      <c r="Q45" s="50"/>
      <c r="R45" s="6"/>
      <c r="S45" s="58"/>
      <c r="T45" s="63" t="str">
        <f t="shared" ca="1" si="7"/>
        <v/>
      </c>
      <c r="U45" s="3" t="str">
        <f t="shared" ca="1" si="8"/>
        <v/>
      </c>
      <c r="V45" s="3" t="str">
        <f t="shared" ca="1" si="9"/>
        <v/>
      </c>
      <c r="W45" s="1" t="str">
        <f t="shared" ca="1" si="10"/>
        <v/>
      </c>
      <c r="X45" s="1" t="str">
        <f t="shared" ca="1" si="11"/>
        <v/>
      </c>
      <c r="Y45" s="3" t="str">
        <f t="shared" ca="1" si="12"/>
        <v/>
      </c>
    </row>
    <row r="46" spans="1:25" s="3" customFormat="1" x14ac:dyDescent="0.4">
      <c r="A46" s="34" t="str">
        <f t="shared" si="6"/>
        <v/>
      </c>
      <c r="B46" s="15"/>
      <c r="C46" s="16"/>
      <c r="D46" s="5"/>
      <c r="E46" s="5"/>
      <c r="F46" s="5"/>
      <c r="G46" s="5"/>
      <c r="H46" s="5"/>
      <c r="I46" s="17"/>
      <c r="J46" s="16"/>
      <c r="K46" s="5"/>
      <c r="L46" s="5"/>
      <c r="M46" s="5"/>
      <c r="N46" s="5"/>
      <c r="O46" s="5"/>
      <c r="P46" s="17"/>
      <c r="Q46" s="50"/>
      <c r="R46" s="6"/>
      <c r="S46" s="58"/>
      <c r="T46" s="63" t="str">
        <f t="shared" ca="1" si="7"/>
        <v/>
      </c>
      <c r="U46" s="3" t="str">
        <f t="shared" ca="1" si="8"/>
        <v/>
      </c>
      <c r="V46" s="3" t="str">
        <f t="shared" ca="1" si="9"/>
        <v/>
      </c>
      <c r="W46" s="1" t="str">
        <f t="shared" ca="1" si="10"/>
        <v/>
      </c>
      <c r="X46" s="1" t="str">
        <f t="shared" ca="1" si="11"/>
        <v/>
      </c>
      <c r="Y46" s="3" t="str">
        <f t="shared" ca="1" si="12"/>
        <v/>
      </c>
    </row>
    <row r="47" spans="1:25" s="3" customFormat="1" x14ac:dyDescent="0.4">
      <c r="A47" s="34" t="str">
        <f t="shared" si="6"/>
        <v/>
      </c>
      <c r="B47" s="15"/>
      <c r="C47" s="16"/>
      <c r="D47" s="5"/>
      <c r="E47" s="5"/>
      <c r="F47" s="5"/>
      <c r="G47" s="5"/>
      <c r="H47" s="5"/>
      <c r="I47" s="17"/>
      <c r="J47" s="16"/>
      <c r="K47" s="5"/>
      <c r="L47" s="5"/>
      <c r="M47" s="5"/>
      <c r="N47" s="5"/>
      <c r="O47" s="5"/>
      <c r="P47" s="17"/>
      <c r="Q47" s="50"/>
      <c r="R47" s="6"/>
      <c r="S47" s="58"/>
      <c r="T47" s="63" t="str">
        <f t="shared" ca="1" si="7"/>
        <v/>
      </c>
      <c r="U47" s="3" t="str">
        <f t="shared" ca="1" si="8"/>
        <v/>
      </c>
      <c r="V47" s="3" t="str">
        <f t="shared" ca="1" si="9"/>
        <v/>
      </c>
      <c r="W47" s="1" t="str">
        <f t="shared" ca="1" si="10"/>
        <v/>
      </c>
      <c r="X47" s="1" t="str">
        <f t="shared" ca="1" si="11"/>
        <v/>
      </c>
      <c r="Y47" s="3" t="str">
        <f t="shared" ca="1" si="12"/>
        <v/>
      </c>
    </row>
    <row r="48" spans="1:25" s="3" customFormat="1" x14ac:dyDescent="0.4">
      <c r="A48" s="34" t="str">
        <f t="shared" si="6"/>
        <v/>
      </c>
      <c r="B48" s="15"/>
      <c r="C48" s="16"/>
      <c r="D48" s="5"/>
      <c r="E48" s="5"/>
      <c r="F48" s="5"/>
      <c r="G48" s="5"/>
      <c r="H48" s="5"/>
      <c r="I48" s="17"/>
      <c r="J48" s="16"/>
      <c r="K48" s="5"/>
      <c r="L48" s="5"/>
      <c r="M48" s="5"/>
      <c r="N48" s="5"/>
      <c r="O48" s="5"/>
      <c r="P48" s="17"/>
      <c r="Q48" s="50"/>
      <c r="R48" s="6"/>
      <c r="S48" s="58"/>
      <c r="T48" s="63" t="str">
        <f t="shared" ca="1" si="7"/>
        <v/>
      </c>
      <c r="U48" s="3" t="str">
        <f t="shared" ca="1" si="8"/>
        <v/>
      </c>
      <c r="V48" s="3" t="str">
        <f t="shared" ca="1" si="9"/>
        <v/>
      </c>
      <c r="W48" s="1" t="str">
        <f t="shared" ca="1" si="10"/>
        <v/>
      </c>
      <c r="X48" s="1" t="str">
        <f t="shared" ca="1" si="11"/>
        <v/>
      </c>
      <c r="Y48" s="3" t="str">
        <f t="shared" ca="1" si="12"/>
        <v/>
      </c>
    </row>
    <row r="49" spans="1:25" s="3" customFormat="1" x14ac:dyDescent="0.4">
      <c r="A49" s="34" t="str">
        <f t="shared" si="6"/>
        <v/>
      </c>
      <c r="B49" s="15"/>
      <c r="C49" s="16"/>
      <c r="D49" s="5"/>
      <c r="E49" s="5"/>
      <c r="F49" s="5"/>
      <c r="G49" s="5"/>
      <c r="H49" s="5"/>
      <c r="I49" s="17"/>
      <c r="J49" s="16"/>
      <c r="K49" s="5"/>
      <c r="L49" s="5"/>
      <c r="M49" s="5"/>
      <c r="N49" s="5"/>
      <c r="O49" s="5"/>
      <c r="P49" s="17"/>
      <c r="Q49" s="50"/>
      <c r="R49" s="6"/>
      <c r="S49" s="58"/>
      <c r="T49" s="63" t="str">
        <f t="shared" ca="1" si="7"/>
        <v/>
      </c>
      <c r="U49" s="3" t="str">
        <f t="shared" ca="1" si="8"/>
        <v/>
      </c>
      <c r="V49" s="3" t="str">
        <f t="shared" ca="1" si="9"/>
        <v/>
      </c>
      <c r="W49" s="1" t="str">
        <f t="shared" ca="1" si="10"/>
        <v/>
      </c>
      <c r="X49" s="1" t="str">
        <f t="shared" ca="1" si="11"/>
        <v/>
      </c>
      <c r="Y49" s="3" t="str">
        <f t="shared" ca="1" si="12"/>
        <v/>
      </c>
    </row>
    <row r="50" spans="1:25" s="3" customFormat="1" x14ac:dyDescent="0.4">
      <c r="A50" s="34" t="str">
        <f t="shared" si="6"/>
        <v/>
      </c>
      <c r="B50" s="15"/>
      <c r="C50" s="16"/>
      <c r="D50" s="5"/>
      <c r="E50" s="5"/>
      <c r="F50" s="5"/>
      <c r="G50" s="5"/>
      <c r="H50" s="5"/>
      <c r="I50" s="17"/>
      <c r="J50" s="16"/>
      <c r="K50" s="5"/>
      <c r="L50" s="5"/>
      <c r="M50" s="5"/>
      <c r="N50" s="5"/>
      <c r="O50" s="5"/>
      <c r="P50" s="17"/>
      <c r="Q50" s="50"/>
      <c r="R50" s="6"/>
      <c r="S50" s="58"/>
      <c r="T50" s="63" t="str">
        <f t="shared" ca="1" si="7"/>
        <v/>
      </c>
      <c r="U50" s="3" t="str">
        <f t="shared" ca="1" si="8"/>
        <v/>
      </c>
      <c r="V50" s="3" t="str">
        <f t="shared" ca="1" si="9"/>
        <v/>
      </c>
      <c r="W50" s="1" t="str">
        <f t="shared" ca="1" si="10"/>
        <v/>
      </c>
      <c r="X50" s="1" t="str">
        <f t="shared" ca="1" si="11"/>
        <v/>
      </c>
      <c r="Y50" s="3" t="str">
        <f t="shared" ca="1" si="12"/>
        <v/>
      </c>
    </row>
    <row r="51" spans="1:25" s="3" customFormat="1" x14ac:dyDescent="0.4">
      <c r="A51" s="34" t="str">
        <f t="shared" si="6"/>
        <v/>
      </c>
      <c r="B51" s="15"/>
      <c r="C51" s="16"/>
      <c r="D51" s="5"/>
      <c r="E51" s="5"/>
      <c r="F51" s="5"/>
      <c r="G51" s="5"/>
      <c r="H51" s="5"/>
      <c r="I51" s="17"/>
      <c r="J51" s="16"/>
      <c r="K51" s="5"/>
      <c r="L51" s="5"/>
      <c r="M51" s="5"/>
      <c r="N51" s="5"/>
      <c r="O51" s="5"/>
      <c r="P51" s="17"/>
      <c r="Q51" s="50"/>
      <c r="R51" s="6"/>
      <c r="S51" s="58"/>
      <c r="T51" s="63" t="str">
        <f t="shared" ca="1" si="7"/>
        <v/>
      </c>
      <c r="U51" s="3" t="str">
        <f t="shared" ca="1" si="8"/>
        <v/>
      </c>
      <c r="V51" s="3" t="str">
        <f t="shared" ca="1" si="9"/>
        <v/>
      </c>
      <c r="W51" s="1" t="str">
        <f t="shared" ca="1" si="10"/>
        <v/>
      </c>
      <c r="X51" s="1" t="str">
        <f t="shared" ca="1" si="11"/>
        <v/>
      </c>
      <c r="Y51" s="3" t="str">
        <f t="shared" ca="1" si="12"/>
        <v/>
      </c>
    </row>
    <row r="52" spans="1:25" s="3" customFormat="1" x14ac:dyDescent="0.4">
      <c r="A52" s="34" t="str">
        <f t="shared" si="6"/>
        <v/>
      </c>
      <c r="B52" s="15"/>
      <c r="C52" s="16"/>
      <c r="D52" s="5"/>
      <c r="E52" s="5"/>
      <c r="F52" s="5"/>
      <c r="G52" s="5"/>
      <c r="H52" s="5"/>
      <c r="I52" s="17"/>
      <c r="J52" s="16"/>
      <c r="K52" s="5"/>
      <c r="L52" s="5"/>
      <c r="M52" s="5"/>
      <c r="N52" s="5"/>
      <c r="O52" s="5"/>
      <c r="P52" s="17"/>
      <c r="Q52" s="50"/>
      <c r="R52" s="6"/>
      <c r="S52" s="58"/>
      <c r="T52" s="63" t="str">
        <f t="shared" ca="1" si="7"/>
        <v/>
      </c>
      <c r="U52" s="3" t="str">
        <f t="shared" ca="1" si="8"/>
        <v/>
      </c>
      <c r="V52" s="3" t="str">
        <f t="shared" ca="1" si="9"/>
        <v/>
      </c>
      <c r="W52" s="1" t="str">
        <f t="shared" ca="1" si="10"/>
        <v/>
      </c>
      <c r="X52" s="1" t="str">
        <f t="shared" ca="1" si="11"/>
        <v/>
      </c>
      <c r="Y52" s="3" t="str">
        <f t="shared" ca="1" si="12"/>
        <v/>
      </c>
    </row>
    <row r="53" spans="1:25" s="3" customFormat="1" x14ac:dyDescent="0.4">
      <c r="A53" s="34" t="str">
        <f t="shared" si="6"/>
        <v/>
      </c>
      <c r="B53" s="15"/>
      <c r="C53" s="16"/>
      <c r="D53" s="5"/>
      <c r="E53" s="5"/>
      <c r="F53" s="5"/>
      <c r="G53" s="5"/>
      <c r="H53" s="5"/>
      <c r="I53" s="17"/>
      <c r="J53" s="16"/>
      <c r="K53" s="5"/>
      <c r="L53" s="5"/>
      <c r="M53" s="5"/>
      <c r="N53" s="5"/>
      <c r="O53" s="5"/>
      <c r="P53" s="17"/>
      <c r="Q53" s="50"/>
      <c r="R53" s="6"/>
      <c r="S53" s="58"/>
      <c r="T53" s="63" t="str">
        <f t="shared" ca="1" si="7"/>
        <v/>
      </c>
      <c r="U53" s="3" t="str">
        <f t="shared" ca="1" si="8"/>
        <v/>
      </c>
      <c r="V53" s="3" t="str">
        <f t="shared" ca="1" si="9"/>
        <v/>
      </c>
      <c r="W53" s="1" t="str">
        <f t="shared" ca="1" si="10"/>
        <v/>
      </c>
      <c r="X53" s="1" t="str">
        <f t="shared" ca="1" si="11"/>
        <v/>
      </c>
      <c r="Y53" s="3" t="str">
        <f t="shared" ca="1" si="12"/>
        <v/>
      </c>
    </row>
    <row r="54" spans="1:25" s="3" customFormat="1" x14ac:dyDescent="0.4">
      <c r="A54" s="34" t="str">
        <f t="shared" si="6"/>
        <v/>
      </c>
      <c r="B54" s="15"/>
      <c r="C54" s="16"/>
      <c r="D54" s="5"/>
      <c r="E54" s="5"/>
      <c r="F54" s="5"/>
      <c r="G54" s="5"/>
      <c r="H54" s="5"/>
      <c r="I54" s="17"/>
      <c r="J54" s="16"/>
      <c r="K54" s="5"/>
      <c r="L54" s="5"/>
      <c r="M54" s="5"/>
      <c r="N54" s="5"/>
      <c r="O54" s="5"/>
      <c r="P54" s="17"/>
      <c r="Q54" s="50"/>
      <c r="R54" s="6"/>
      <c r="S54" s="58"/>
      <c r="T54" s="63" t="str">
        <f t="shared" ca="1" si="7"/>
        <v/>
      </c>
      <c r="U54" s="3" t="str">
        <f t="shared" ca="1" si="8"/>
        <v/>
      </c>
      <c r="V54" s="3" t="str">
        <f t="shared" ca="1" si="9"/>
        <v/>
      </c>
      <c r="W54" s="1" t="str">
        <f t="shared" ca="1" si="10"/>
        <v/>
      </c>
      <c r="X54" s="1" t="str">
        <f t="shared" ca="1" si="11"/>
        <v/>
      </c>
      <c r="Y54" s="3" t="str">
        <f t="shared" ca="1" si="12"/>
        <v/>
      </c>
    </row>
    <row r="55" spans="1:25" s="3" customFormat="1" x14ac:dyDescent="0.4">
      <c r="A55" s="34" t="str">
        <f t="shared" si="6"/>
        <v/>
      </c>
      <c r="B55" s="15"/>
      <c r="C55" s="16"/>
      <c r="D55" s="5"/>
      <c r="E55" s="5"/>
      <c r="F55" s="5"/>
      <c r="G55" s="5"/>
      <c r="H55" s="5"/>
      <c r="I55" s="17"/>
      <c r="J55" s="16"/>
      <c r="K55" s="5"/>
      <c r="L55" s="5"/>
      <c r="M55" s="5"/>
      <c r="N55" s="5"/>
      <c r="O55" s="5"/>
      <c r="P55" s="17"/>
      <c r="Q55" s="50"/>
      <c r="R55" s="6"/>
      <c r="S55" s="58"/>
      <c r="T55" s="63" t="str">
        <f t="shared" ca="1" si="7"/>
        <v/>
      </c>
      <c r="U55" s="3" t="str">
        <f t="shared" ca="1" si="8"/>
        <v/>
      </c>
      <c r="V55" s="3" t="str">
        <f t="shared" ca="1" si="9"/>
        <v/>
      </c>
      <c r="W55" s="1" t="str">
        <f t="shared" ca="1" si="10"/>
        <v/>
      </c>
      <c r="X55" s="1" t="str">
        <f t="shared" ca="1" si="11"/>
        <v/>
      </c>
      <c r="Y55" s="3" t="str">
        <f t="shared" ca="1" si="12"/>
        <v/>
      </c>
    </row>
    <row r="56" spans="1:25" s="3" customFormat="1" x14ac:dyDescent="0.4">
      <c r="A56" s="34" t="str">
        <f t="shared" si="6"/>
        <v/>
      </c>
      <c r="B56" s="15"/>
      <c r="C56" s="16"/>
      <c r="D56" s="5"/>
      <c r="E56" s="5"/>
      <c r="F56" s="5"/>
      <c r="G56" s="5"/>
      <c r="H56" s="5"/>
      <c r="I56" s="17"/>
      <c r="J56" s="16"/>
      <c r="K56" s="5"/>
      <c r="L56" s="5"/>
      <c r="M56" s="5"/>
      <c r="N56" s="5"/>
      <c r="O56" s="5"/>
      <c r="P56" s="17"/>
      <c r="Q56" s="50"/>
      <c r="R56" s="6"/>
      <c r="S56" s="58"/>
      <c r="T56" s="63" t="str">
        <f t="shared" ca="1" si="7"/>
        <v/>
      </c>
      <c r="U56" s="3" t="str">
        <f t="shared" ca="1" si="8"/>
        <v/>
      </c>
      <c r="V56" s="3" t="str">
        <f t="shared" ca="1" si="9"/>
        <v/>
      </c>
      <c r="W56" s="1" t="str">
        <f t="shared" ca="1" si="10"/>
        <v/>
      </c>
      <c r="X56" s="1" t="str">
        <f t="shared" ca="1" si="11"/>
        <v/>
      </c>
      <c r="Y56" s="3" t="str">
        <f t="shared" ca="1" si="12"/>
        <v/>
      </c>
    </row>
    <row r="57" spans="1:25" s="3" customFormat="1" x14ac:dyDescent="0.4">
      <c r="A57" s="34" t="str">
        <f t="shared" si="6"/>
        <v/>
      </c>
      <c r="B57" s="15"/>
      <c r="C57" s="16"/>
      <c r="D57" s="5"/>
      <c r="E57" s="5"/>
      <c r="F57" s="5"/>
      <c r="G57" s="5"/>
      <c r="H57" s="5"/>
      <c r="I57" s="17"/>
      <c r="J57" s="16"/>
      <c r="K57" s="5"/>
      <c r="L57" s="5"/>
      <c r="M57" s="5"/>
      <c r="N57" s="5"/>
      <c r="O57" s="5"/>
      <c r="P57" s="17"/>
      <c r="Q57" s="50"/>
      <c r="R57" s="6"/>
      <c r="S57" s="58"/>
      <c r="T57" s="63" t="str">
        <f t="shared" ca="1" si="7"/>
        <v/>
      </c>
      <c r="U57" s="3" t="str">
        <f t="shared" ca="1" si="8"/>
        <v/>
      </c>
      <c r="V57" s="3" t="str">
        <f t="shared" ca="1" si="9"/>
        <v/>
      </c>
      <c r="W57" s="1" t="str">
        <f t="shared" ca="1" si="10"/>
        <v/>
      </c>
      <c r="X57" s="1" t="str">
        <f t="shared" ca="1" si="11"/>
        <v/>
      </c>
      <c r="Y57" s="3" t="str">
        <f t="shared" ca="1" si="12"/>
        <v/>
      </c>
    </row>
    <row r="58" spans="1:25" s="3" customFormat="1" x14ac:dyDescent="0.4">
      <c r="A58" s="34" t="str">
        <f t="shared" si="6"/>
        <v/>
      </c>
      <c r="B58" s="15"/>
      <c r="C58" s="16"/>
      <c r="D58" s="5"/>
      <c r="E58" s="5"/>
      <c r="F58" s="5"/>
      <c r="G58" s="5"/>
      <c r="H58" s="5"/>
      <c r="I58" s="17"/>
      <c r="J58" s="16"/>
      <c r="K58" s="5"/>
      <c r="L58" s="5"/>
      <c r="M58" s="5"/>
      <c r="N58" s="5"/>
      <c r="O58" s="5"/>
      <c r="P58" s="17"/>
      <c r="Q58" s="50"/>
      <c r="R58" s="6"/>
      <c r="S58" s="58"/>
      <c r="T58" s="63" t="str">
        <f t="shared" ca="1" si="7"/>
        <v/>
      </c>
      <c r="U58" s="3" t="str">
        <f t="shared" ca="1" si="8"/>
        <v/>
      </c>
      <c r="V58" s="3" t="str">
        <f t="shared" ca="1" si="9"/>
        <v/>
      </c>
      <c r="W58" s="1" t="str">
        <f t="shared" ca="1" si="10"/>
        <v/>
      </c>
      <c r="X58" s="1" t="str">
        <f t="shared" ca="1" si="11"/>
        <v/>
      </c>
      <c r="Y58" s="3" t="str">
        <f t="shared" ca="1" si="12"/>
        <v/>
      </c>
    </row>
    <row r="59" spans="1:25" s="3" customFormat="1" x14ac:dyDescent="0.4">
      <c r="A59" s="34" t="str">
        <f t="shared" si="6"/>
        <v/>
      </c>
      <c r="B59" s="15"/>
      <c r="C59" s="16"/>
      <c r="D59" s="5"/>
      <c r="E59" s="5"/>
      <c r="F59" s="5"/>
      <c r="G59" s="5"/>
      <c r="H59" s="5"/>
      <c r="I59" s="17"/>
      <c r="J59" s="16"/>
      <c r="K59" s="5"/>
      <c r="L59" s="5"/>
      <c r="M59" s="5"/>
      <c r="N59" s="5"/>
      <c r="O59" s="5"/>
      <c r="P59" s="17"/>
      <c r="Q59" s="50"/>
      <c r="R59" s="6"/>
      <c r="S59" s="58"/>
      <c r="T59" s="63" t="str">
        <f t="shared" ca="1" si="7"/>
        <v/>
      </c>
      <c r="U59" s="3" t="str">
        <f t="shared" ca="1" si="8"/>
        <v/>
      </c>
      <c r="V59" s="3" t="str">
        <f t="shared" ca="1" si="9"/>
        <v/>
      </c>
      <c r="W59" s="1" t="str">
        <f t="shared" ca="1" si="10"/>
        <v/>
      </c>
      <c r="X59" s="1" t="str">
        <f t="shared" ca="1" si="11"/>
        <v/>
      </c>
      <c r="Y59" s="3" t="str">
        <f t="shared" ca="1" si="12"/>
        <v/>
      </c>
    </row>
    <row r="60" spans="1:25" s="3" customFormat="1" x14ac:dyDescent="0.4">
      <c r="A60" s="34" t="str">
        <f t="shared" si="6"/>
        <v/>
      </c>
      <c r="B60" s="15"/>
      <c r="C60" s="16"/>
      <c r="D60" s="5"/>
      <c r="E60" s="5"/>
      <c r="F60" s="5"/>
      <c r="G60" s="5"/>
      <c r="H60" s="5"/>
      <c r="I60" s="17"/>
      <c r="J60" s="16"/>
      <c r="K60" s="5"/>
      <c r="L60" s="5"/>
      <c r="M60" s="5"/>
      <c r="N60" s="5"/>
      <c r="O60" s="5"/>
      <c r="P60" s="17"/>
      <c r="Q60" s="50"/>
      <c r="R60" s="6"/>
      <c r="S60" s="58"/>
      <c r="T60" s="63" t="str">
        <f t="shared" ca="1" si="7"/>
        <v/>
      </c>
      <c r="U60" s="3" t="str">
        <f t="shared" ca="1" si="8"/>
        <v/>
      </c>
      <c r="V60" s="3" t="str">
        <f t="shared" ca="1" si="9"/>
        <v/>
      </c>
      <c r="W60" s="1" t="str">
        <f t="shared" ca="1" si="10"/>
        <v/>
      </c>
      <c r="X60" s="1" t="str">
        <f t="shared" ca="1" si="11"/>
        <v/>
      </c>
      <c r="Y60" s="3" t="str">
        <f t="shared" ca="1" si="12"/>
        <v/>
      </c>
    </row>
    <row r="61" spans="1:25" s="3" customFormat="1" x14ac:dyDescent="0.4">
      <c r="A61" s="34" t="str">
        <f t="shared" si="6"/>
        <v/>
      </c>
      <c r="B61" s="15"/>
      <c r="C61" s="16"/>
      <c r="D61" s="5"/>
      <c r="E61" s="5"/>
      <c r="F61" s="5"/>
      <c r="G61" s="5"/>
      <c r="H61" s="5"/>
      <c r="I61" s="17"/>
      <c r="J61" s="16"/>
      <c r="K61" s="5"/>
      <c r="L61" s="5"/>
      <c r="M61" s="5"/>
      <c r="N61" s="5"/>
      <c r="O61" s="5"/>
      <c r="P61" s="17"/>
      <c r="Q61" s="50"/>
      <c r="R61" s="6"/>
      <c r="S61" s="58"/>
      <c r="T61" s="63" t="str">
        <f t="shared" ca="1" si="7"/>
        <v/>
      </c>
      <c r="U61" s="3" t="str">
        <f t="shared" ca="1" si="8"/>
        <v/>
      </c>
      <c r="V61" s="3" t="str">
        <f t="shared" ca="1" si="9"/>
        <v/>
      </c>
      <c r="W61" s="1" t="str">
        <f t="shared" ca="1" si="10"/>
        <v/>
      </c>
      <c r="X61" s="1" t="str">
        <f t="shared" ca="1" si="11"/>
        <v/>
      </c>
      <c r="Y61" s="3" t="str">
        <f t="shared" ca="1" si="12"/>
        <v/>
      </c>
    </row>
    <row r="62" spans="1:25" s="3" customFormat="1" x14ac:dyDescent="0.4">
      <c r="A62" s="34" t="str">
        <f t="shared" si="6"/>
        <v/>
      </c>
      <c r="B62" s="15"/>
      <c r="C62" s="16"/>
      <c r="D62" s="5"/>
      <c r="E62" s="5"/>
      <c r="F62" s="5"/>
      <c r="G62" s="5"/>
      <c r="H62" s="5"/>
      <c r="I62" s="17"/>
      <c r="J62" s="16"/>
      <c r="K62" s="5"/>
      <c r="L62" s="5"/>
      <c r="M62" s="5"/>
      <c r="N62" s="5"/>
      <c r="O62" s="5"/>
      <c r="P62" s="17"/>
      <c r="Q62" s="50"/>
      <c r="R62" s="6"/>
      <c r="S62" s="58"/>
      <c r="T62" s="63" t="str">
        <f t="shared" ca="1" si="7"/>
        <v/>
      </c>
      <c r="U62" s="3" t="str">
        <f t="shared" ca="1" si="8"/>
        <v/>
      </c>
      <c r="V62" s="3" t="str">
        <f t="shared" ca="1" si="9"/>
        <v/>
      </c>
      <c r="W62" s="1" t="str">
        <f t="shared" ca="1" si="10"/>
        <v/>
      </c>
      <c r="X62" s="1" t="str">
        <f t="shared" ca="1" si="11"/>
        <v/>
      </c>
      <c r="Y62" s="3" t="str">
        <f t="shared" ca="1" si="12"/>
        <v/>
      </c>
    </row>
    <row r="63" spans="1:25" s="3" customFormat="1" x14ac:dyDescent="0.4">
      <c r="A63" s="34" t="str">
        <f t="shared" si="6"/>
        <v/>
      </c>
      <c r="B63" s="15"/>
      <c r="C63" s="16"/>
      <c r="D63" s="5"/>
      <c r="E63" s="5"/>
      <c r="F63" s="5"/>
      <c r="G63" s="5"/>
      <c r="H63" s="5"/>
      <c r="I63" s="17"/>
      <c r="J63" s="16"/>
      <c r="K63" s="5"/>
      <c r="L63" s="5"/>
      <c r="M63" s="5"/>
      <c r="N63" s="5"/>
      <c r="O63" s="5"/>
      <c r="P63" s="17"/>
      <c r="Q63" s="50"/>
      <c r="R63" s="6"/>
      <c r="S63" s="58"/>
      <c r="T63" s="63" t="str">
        <f t="shared" ca="1" si="7"/>
        <v/>
      </c>
      <c r="U63" s="3" t="str">
        <f t="shared" ca="1" si="8"/>
        <v/>
      </c>
      <c r="V63" s="3" t="str">
        <f t="shared" ca="1" si="9"/>
        <v/>
      </c>
      <c r="W63" s="1" t="str">
        <f t="shared" ca="1" si="10"/>
        <v/>
      </c>
      <c r="X63" s="1" t="str">
        <f t="shared" ca="1" si="11"/>
        <v/>
      </c>
      <c r="Y63" s="3" t="str">
        <f t="shared" ca="1" si="12"/>
        <v/>
      </c>
    </row>
    <row r="64" spans="1:25" s="3" customFormat="1" x14ac:dyDescent="0.4">
      <c r="A64" s="34" t="str">
        <f t="shared" si="6"/>
        <v/>
      </c>
      <c r="B64" s="15"/>
      <c r="C64" s="16"/>
      <c r="D64" s="5"/>
      <c r="E64" s="5"/>
      <c r="F64" s="5"/>
      <c r="G64" s="5"/>
      <c r="H64" s="5"/>
      <c r="I64" s="17"/>
      <c r="J64" s="16"/>
      <c r="K64" s="5"/>
      <c r="L64" s="5"/>
      <c r="M64" s="5"/>
      <c r="N64" s="5"/>
      <c r="O64" s="5"/>
      <c r="P64" s="17"/>
      <c r="Q64" s="50"/>
      <c r="R64" s="6"/>
      <c r="S64" s="58"/>
      <c r="T64" s="63" t="str">
        <f t="shared" ca="1" si="7"/>
        <v/>
      </c>
      <c r="U64" s="3" t="str">
        <f t="shared" ca="1" si="8"/>
        <v/>
      </c>
      <c r="V64" s="3" t="str">
        <f t="shared" ca="1" si="9"/>
        <v/>
      </c>
      <c r="W64" s="1" t="str">
        <f t="shared" ca="1" si="10"/>
        <v/>
      </c>
      <c r="X64" s="1" t="str">
        <f t="shared" ca="1" si="11"/>
        <v/>
      </c>
      <c r="Y64" s="3" t="str">
        <f t="shared" ca="1" si="12"/>
        <v/>
      </c>
    </row>
    <row r="65" spans="1:25" s="3" customFormat="1" x14ac:dyDescent="0.4">
      <c r="A65" s="34" t="str">
        <f t="shared" si="6"/>
        <v/>
      </c>
      <c r="B65" s="15"/>
      <c r="C65" s="16"/>
      <c r="D65" s="5"/>
      <c r="E65" s="5"/>
      <c r="F65" s="5"/>
      <c r="G65" s="5"/>
      <c r="H65" s="5"/>
      <c r="I65" s="17"/>
      <c r="J65" s="16"/>
      <c r="K65" s="5"/>
      <c r="L65" s="5"/>
      <c r="M65" s="5"/>
      <c r="N65" s="5"/>
      <c r="O65" s="5"/>
      <c r="P65" s="17"/>
      <c r="Q65" s="50"/>
      <c r="R65" s="6"/>
      <c r="S65" s="58"/>
      <c r="T65" s="63" t="str">
        <f t="shared" ca="1" si="7"/>
        <v/>
      </c>
      <c r="U65" s="3" t="str">
        <f t="shared" ca="1" si="8"/>
        <v/>
      </c>
      <c r="V65" s="3" t="str">
        <f t="shared" ca="1" si="9"/>
        <v/>
      </c>
      <c r="W65" s="1" t="str">
        <f t="shared" ca="1" si="10"/>
        <v/>
      </c>
      <c r="X65" s="1" t="str">
        <f t="shared" ca="1" si="11"/>
        <v/>
      </c>
      <c r="Y65" s="3" t="str">
        <f t="shared" ca="1" si="12"/>
        <v/>
      </c>
    </row>
    <row r="66" spans="1:25" s="3" customFormat="1" x14ac:dyDescent="0.4">
      <c r="A66" s="34" t="str">
        <f t="shared" si="6"/>
        <v/>
      </c>
      <c r="B66" s="15"/>
      <c r="C66" s="16"/>
      <c r="D66" s="5"/>
      <c r="E66" s="5"/>
      <c r="F66" s="5"/>
      <c r="G66" s="5"/>
      <c r="H66" s="5"/>
      <c r="I66" s="17"/>
      <c r="J66" s="16"/>
      <c r="K66" s="5"/>
      <c r="L66" s="5"/>
      <c r="M66" s="5"/>
      <c r="N66" s="5"/>
      <c r="O66" s="5"/>
      <c r="P66" s="17"/>
      <c r="Q66" s="50"/>
      <c r="R66" s="6"/>
      <c r="S66" s="58"/>
      <c r="T66" s="63" t="str">
        <f t="shared" ca="1" si="7"/>
        <v/>
      </c>
      <c r="U66" s="3" t="str">
        <f t="shared" ca="1" si="8"/>
        <v/>
      </c>
      <c r="V66" s="3" t="str">
        <f t="shared" ca="1" si="9"/>
        <v/>
      </c>
      <c r="W66" s="1" t="str">
        <f t="shared" ca="1" si="10"/>
        <v/>
      </c>
      <c r="X66" s="1" t="str">
        <f t="shared" ca="1" si="11"/>
        <v/>
      </c>
      <c r="Y66" s="3" t="str">
        <f t="shared" ca="1" si="12"/>
        <v/>
      </c>
    </row>
    <row r="67" spans="1:25" s="3" customFormat="1" x14ac:dyDescent="0.4">
      <c r="A67" s="34" t="str">
        <f t="shared" si="6"/>
        <v/>
      </c>
      <c r="B67" s="15"/>
      <c r="C67" s="16"/>
      <c r="D67" s="5"/>
      <c r="E67" s="5"/>
      <c r="F67" s="5"/>
      <c r="G67" s="5"/>
      <c r="H67" s="5"/>
      <c r="I67" s="17"/>
      <c r="J67" s="16"/>
      <c r="K67" s="5"/>
      <c r="L67" s="5"/>
      <c r="M67" s="5"/>
      <c r="N67" s="5"/>
      <c r="O67" s="5"/>
      <c r="P67" s="17"/>
      <c r="Q67" s="50"/>
      <c r="R67" s="6"/>
      <c r="S67" s="58"/>
      <c r="T67" s="63" t="str">
        <f t="shared" ca="1" si="7"/>
        <v/>
      </c>
      <c r="U67" s="3" t="str">
        <f t="shared" ca="1" si="8"/>
        <v/>
      </c>
      <c r="V67" s="3" t="str">
        <f t="shared" ca="1" si="9"/>
        <v/>
      </c>
      <c r="W67" s="1" t="str">
        <f t="shared" ca="1" si="10"/>
        <v/>
      </c>
      <c r="X67" s="1" t="str">
        <f t="shared" ca="1" si="11"/>
        <v/>
      </c>
      <c r="Y67" s="3" t="str">
        <f t="shared" ca="1" si="12"/>
        <v/>
      </c>
    </row>
    <row r="68" spans="1:25" s="3" customFormat="1" x14ac:dyDescent="0.4">
      <c r="A68" s="34" t="str">
        <f t="shared" si="6"/>
        <v/>
      </c>
      <c r="B68" s="15"/>
      <c r="C68" s="16"/>
      <c r="D68" s="5"/>
      <c r="E68" s="5"/>
      <c r="F68" s="5"/>
      <c r="G68" s="5"/>
      <c r="H68" s="5"/>
      <c r="I68" s="17"/>
      <c r="J68" s="16"/>
      <c r="K68" s="5"/>
      <c r="L68" s="5"/>
      <c r="M68" s="5"/>
      <c r="N68" s="5"/>
      <c r="O68" s="5"/>
      <c r="P68" s="17"/>
      <c r="Q68" s="50"/>
      <c r="R68" s="6"/>
      <c r="S68" s="58"/>
      <c r="T68" s="63" t="str">
        <f t="shared" ca="1" si="7"/>
        <v/>
      </c>
      <c r="U68" s="3" t="str">
        <f t="shared" ca="1" si="8"/>
        <v/>
      </c>
      <c r="V68" s="3" t="str">
        <f t="shared" ca="1" si="9"/>
        <v/>
      </c>
      <c r="W68" s="1" t="str">
        <f t="shared" ca="1" si="10"/>
        <v/>
      </c>
      <c r="X68" s="1" t="str">
        <f t="shared" ca="1" si="11"/>
        <v/>
      </c>
      <c r="Y68" s="3" t="str">
        <f t="shared" ca="1" si="12"/>
        <v/>
      </c>
    </row>
    <row r="69" spans="1:25" s="3" customFormat="1" x14ac:dyDescent="0.4">
      <c r="A69" s="34" t="str">
        <f t="shared" si="6"/>
        <v/>
      </c>
      <c r="B69" s="15"/>
      <c r="C69" s="16"/>
      <c r="D69" s="5"/>
      <c r="E69" s="5"/>
      <c r="F69" s="5"/>
      <c r="G69" s="5"/>
      <c r="H69" s="5"/>
      <c r="I69" s="17"/>
      <c r="J69" s="16"/>
      <c r="K69" s="5"/>
      <c r="L69" s="5"/>
      <c r="M69" s="5"/>
      <c r="N69" s="5"/>
      <c r="O69" s="5"/>
      <c r="P69" s="17"/>
      <c r="Q69" s="50"/>
      <c r="R69" s="6"/>
      <c r="S69" s="58"/>
      <c r="T69" s="63" t="str">
        <f t="shared" ref="T69:T100" ca="1" si="13">IF(ISNA(VLOOKUP(E69,地址類別Mapping,2,FALSE)),"",VLOOKUP(E69,地址類別Mapping,2,FALSE))</f>
        <v/>
      </c>
      <c r="U69" s="3" t="str">
        <f t="shared" ref="U69:U100" ca="1" si="14">IF(ISNA(VLOOKUP(F69&amp;"-"&amp;G69,郵遞區號,2,FALSE)),"",VLOOKUP(F69&amp;"-"&amp;G69,郵遞區號,2,FALSE))</f>
        <v/>
      </c>
      <c r="V69" s="3" t="str">
        <f t="shared" ref="V69:V100" ca="1" si="15">IF(ISNA(VLOOKUP(M69&amp;"-"&amp;N69,郵遞區號,2,FALSE)),"",VLOOKUP(M69&amp;"-"&amp;N69,郵遞區號,2,FALSE))</f>
        <v/>
      </c>
      <c r="W69" s="1" t="str">
        <f t="shared" ref="W69:W100" ca="1" si="16">IF(ISNA(VLOOKUP(B69,郵件種類MAPPING,2,FALSE)),"",VLOOKUP(B69,郵件種類MAPPING,2,FALSE))</f>
        <v/>
      </c>
      <c r="X69" s="1" t="str">
        <f t="shared" ref="X69:X100" ca="1" si="17">IF(ISNA(VLOOKUP(R69,箱袋種類Mapping,2,FALSE)),"",VLOOKUP(R69,箱袋種類Mapping,2,FALSE))</f>
        <v/>
      </c>
      <c r="Y69" s="3" t="str">
        <f t="shared" ref="Y69:Y100" ca="1" si="18">IF(ISNA(VLOOKUP(B69,郵件種類MAPPING,2,FALSE)),"","203")</f>
        <v/>
      </c>
    </row>
    <row r="70" spans="1:25" s="3" customFormat="1" x14ac:dyDescent="0.4">
      <c r="A70" s="34" t="str">
        <f t="shared" ref="A70:A133" si="19">IF(NOT(COUNTA(B70:I70)),"",ROW()-4)</f>
        <v/>
      </c>
      <c r="B70" s="15"/>
      <c r="C70" s="16"/>
      <c r="D70" s="5"/>
      <c r="E70" s="5"/>
      <c r="F70" s="5"/>
      <c r="G70" s="5"/>
      <c r="H70" s="5"/>
      <c r="I70" s="17"/>
      <c r="J70" s="16"/>
      <c r="K70" s="5"/>
      <c r="L70" s="5"/>
      <c r="M70" s="5"/>
      <c r="N70" s="5"/>
      <c r="O70" s="5"/>
      <c r="P70" s="17"/>
      <c r="Q70" s="50"/>
      <c r="R70" s="6"/>
      <c r="S70" s="58"/>
      <c r="T70" s="63" t="str">
        <f t="shared" ca="1" si="13"/>
        <v/>
      </c>
      <c r="U70" s="3" t="str">
        <f t="shared" ca="1" si="14"/>
        <v/>
      </c>
      <c r="V70" s="3" t="str">
        <f t="shared" ca="1" si="15"/>
        <v/>
      </c>
      <c r="W70" s="1" t="str">
        <f t="shared" ca="1" si="16"/>
        <v/>
      </c>
      <c r="X70" s="1" t="str">
        <f t="shared" ca="1" si="17"/>
        <v/>
      </c>
      <c r="Y70" s="3" t="str">
        <f t="shared" ca="1" si="18"/>
        <v/>
      </c>
    </row>
    <row r="71" spans="1:25" s="3" customFormat="1" x14ac:dyDescent="0.4">
      <c r="A71" s="34" t="str">
        <f t="shared" si="19"/>
        <v/>
      </c>
      <c r="B71" s="15"/>
      <c r="C71" s="16"/>
      <c r="D71" s="5"/>
      <c r="E71" s="5"/>
      <c r="F71" s="5"/>
      <c r="G71" s="5"/>
      <c r="H71" s="5"/>
      <c r="I71" s="17"/>
      <c r="J71" s="16"/>
      <c r="K71" s="5"/>
      <c r="L71" s="5"/>
      <c r="M71" s="5"/>
      <c r="N71" s="5"/>
      <c r="O71" s="5"/>
      <c r="P71" s="17"/>
      <c r="Q71" s="50"/>
      <c r="R71" s="6"/>
      <c r="S71" s="58"/>
      <c r="T71" s="63" t="str">
        <f t="shared" ca="1" si="13"/>
        <v/>
      </c>
      <c r="U71" s="3" t="str">
        <f t="shared" ca="1" si="14"/>
        <v/>
      </c>
      <c r="V71" s="3" t="str">
        <f t="shared" ca="1" si="15"/>
        <v/>
      </c>
      <c r="W71" s="1" t="str">
        <f t="shared" ca="1" si="16"/>
        <v/>
      </c>
      <c r="X71" s="1" t="str">
        <f t="shared" ca="1" si="17"/>
        <v/>
      </c>
      <c r="Y71" s="3" t="str">
        <f t="shared" ca="1" si="18"/>
        <v/>
      </c>
    </row>
    <row r="72" spans="1:25" s="3" customFormat="1" x14ac:dyDescent="0.4">
      <c r="A72" s="34" t="str">
        <f t="shared" si="19"/>
        <v/>
      </c>
      <c r="B72" s="15"/>
      <c r="C72" s="16"/>
      <c r="D72" s="5"/>
      <c r="E72" s="5"/>
      <c r="F72" s="5"/>
      <c r="G72" s="5"/>
      <c r="H72" s="5"/>
      <c r="I72" s="17"/>
      <c r="J72" s="16"/>
      <c r="K72" s="5"/>
      <c r="L72" s="5"/>
      <c r="M72" s="5"/>
      <c r="N72" s="5"/>
      <c r="O72" s="5"/>
      <c r="P72" s="17"/>
      <c r="Q72" s="50"/>
      <c r="R72" s="6"/>
      <c r="S72" s="58"/>
      <c r="T72" s="63" t="str">
        <f t="shared" ca="1" si="13"/>
        <v/>
      </c>
      <c r="U72" s="3" t="str">
        <f t="shared" ca="1" si="14"/>
        <v/>
      </c>
      <c r="V72" s="3" t="str">
        <f t="shared" ca="1" si="15"/>
        <v/>
      </c>
      <c r="W72" s="1" t="str">
        <f t="shared" ca="1" si="16"/>
        <v/>
      </c>
      <c r="X72" s="1" t="str">
        <f t="shared" ca="1" si="17"/>
        <v/>
      </c>
      <c r="Y72" s="3" t="str">
        <f t="shared" ca="1" si="18"/>
        <v/>
      </c>
    </row>
    <row r="73" spans="1:25" s="3" customFormat="1" x14ac:dyDescent="0.4">
      <c r="A73" s="34" t="str">
        <f t="shared" si="19"/>
        <v/>
      </c>
      <c r="B73" s="15"/>
      <c r="C73" s="16"/>
      <c r="D73" s="5"/>
      <c r="E73" s="5"/>
      <c r="F73" s="5"/>
      <c r="G73" s="5"/>
      <c r="H73" s="5"/>
      <c r="I73" s="17"/>
      <c r="J73" s="16"/>
      <c r="K73" s="5"/>
      <c r="L73" s="5"/>
      <c r="M73" s="5"/>
      <c r="N73" s="5"/>
      <c r="O73" s="5"/>
      <c r="P73" s="17"/>
      <c r="Q73" s="50"/>
      <c r="R73" s="6"/>
      <c r="S73" s="58"/>
      <c r="T73" s="63" t="str">
        <f t="shared" ca="1" si="13"/>
        <v/>
      </c>
      <c r="U73" s="3" t="str">
        <f t="shared" ca="1" si="14"/>
        <v/>
      </c>
      <c r="V73" s="3" t="str">
        <f t="shared" ca="1" si="15"/>
        <v/>
      </c>
      <c r="W73" s="1" t="str">
        <f t="shared" ca="1" si="16"/>
        <v/>
      </c>
      <c r="X73" s="1" t="str">
        <f t="shared" ca="1" si="17"/>
        <v/>
      </c>
      <c r="Y73" s="3" t="str">
        <f t="shared" ca="1" si="18"/>
        <v/>
      </c>
    </row>
    <row r="74" spans="1:25" s="3" customFormat="1" x14ac:dyDescent="0.4">
      <c r="A74" s="34" t="str">
        <f t="shared" si="19"/>
        <v/>
      </c>
      <c r="B74" s="15"/>
      <c r="C74" s="16"/>
      <c r="D74" s="5"/>
      <c r="E74" s="5"/>
      <c r="F74" s="5"/>
      <c r="G74" s="5"/>
      <c r="H74" s="5"/>
      <c r="I74" s="17"/>
      <c r="J74" s="16"/>
      <c r="K74" s="5"/>
      <c r="L74" s="5"/>
      <c r="M74" s="5"/>
      <c r="N74" s="5"/>
      <c r="O74" s="5"/>
      <c r="P74" s="17"/>
      <c r="Q74" s="50"/>
      <c r="R74" s="6"/>
      <c r="S74" s="58"/>
      <c r="T74" s="63" t="str">
        <f t="shared" ca="1" si="13"/>
        <v/>
      </c>
      <c r="U74" s="3" t="str">
        <f t="shared" ca="1" si="14"/>
        <v/>
      </c>
      <c r="V74" s="3" t="str">
        <f t="shared" ca="1" si="15"/>
        <v/>
      </c>
      <c r="W74" s="1" t="str">
        <f t="shared" ca="1" si="16"/>
        <v/>
      </c>
      <c r="X74" s="1" t="str">
        <f t="shared" ca="1" si="17"/>
        <v/>
      </c>
      <c r="Y74" s="3" t="str">
        <f t="shared" ca="1" si="18"/>
        <v/>
      </c>
    </row>
    <row r="75" spans="1:25" s="3" customFormat="1" x14ac:dyDescent="0.4">
      <c r="A75" s="34" t="str">
        <f t="shared" si="19"/>
        <v/>
      </c>
      <c r="B75" s="15"/>
      <c r="C75" s="16"/>
      <c r="D75" s="5"/>
      <c r="E75" s="5"/>
      <c r="F75" s="5"/>
      <c r="G75" s="5"/>
      <c r="H75" s="5"/>
      <c r="I75" s="17"/>
      <c r="J75" s="16"/>
      <c r="K75" s="5"/>
      <c r="L75" s="5"/>
      <c r="M75" s="5"/>
      <c r="N75" s="5"/>
      <c r="O75" s="5"/>
      <c r="P75" s="17"/>
      <c r="Q75" s="50"/>
      <c r="R75" s="6"/>
      <c r="S75" s="58"/>
      <c r="T75" s="63" t="str">
        <f t="shared" ca="1" si="13"/>
        <v/>
      </c>
      <c r="U75" s="3" t="str">
        <f t="shared" ca="1" si="14"/>
        <v/>
      </c>
      <c r="V75" s="3" t="str">
        <f t="shared" ca="1" si="15"/>
        <v/>
      </c>
      <c r="W75" s="1" t="str">
        <f t="shared" ca="1" si="16"/>
        <v/>
      </c>
      <c r="X75" s="1" t="str">
        <f t="shared" ca="1" si="17"/>
        <v/>
      </c>
      <c r="Y75" s="3" t="str">
        <f t="shared" ca="1" si="18"/>
        <v/>
      </c>
    </row>
    <row r="76" spans="1:25" s="3" customFormat="1" x14ac:dyDescent="0.4">
      <c r="A76" s="34" t="str">
        <f t="shared" si="19"/>
        <v/>
      </c>
      <c r="B76" s="15"/>
      <c r="C76" s="16"/>
      <c r="D76" s="5"/>
      <c r="E76" s="5"/>
      <c r="F76" s="5"/>
      <c r="G76" s="5"/>
      <c r="H76" s="5"/>
      <c r="I76" s="17"/>
      <c r="J76" s="16"/>
      <c r="K76" s="5"/>
      <c r="L76" s="5"/>
      <c r="M76" s="5"/>
      <c r="N76" s="5"/>
      <c r="O76" s="5"/>
      <c r="P76" s="17"/>
      <c r="Q76" s="50"/>
      <c r="R76" s="6"/>
      <c r="S76" s="58"/>
      <c r="T76" s="63" t="str">
        <f t="shared" ca="1" si="13"/>
        <v/>
      </c>
      <c r="U76" s="3" t="str">
        <f t="shared" ca="1" si="14"/>
        <v/>
      </c>
      <c r="V76" s="3" t="str">
        <f t="shared" ca="1" si="15"/>
        <v/>
      </c>
      <c r="W76" s="1" t="str">
        <f t="shared" ca="1" si="16"/>
        <v/>
      </c>
      <c r="X76" s="1" t="str">
        <f t="shared" ca="1" si="17"/>
        <v/>
      </c>
      <c r="Y76" s="3" t="str">
        <f t="shared" ca="1" si="18"/>
        <v/>
      </c>
    </row>
    <row r="77" spans="1:25" s="3" customFormat="1" x14ac:dyDescent="0.4">
      <c r="A77" s="34" t="str">
        <f t="shared" si="19"/>
        <v/>
      </c>
      <c r="B77" s="15"/>
      <c r="C77" s="16"/>
      <c r="D77" s="5"/>
      <c r="E77" s="5"/>
      <c r="F77" s="5"/>
      <c r="G77" s="5"/>
      <c r="H77" s="5"/>
      <c r="I77" s="17"/>
      <c r="J77" s="16"/>
      <c r="K77" s="5"/>
      <c r="L77" s="5"/>
      <c r="M77" s="5"/>
      <c r="N77" s="5"/>
      <c r="O77" s="5"/>
      <c r="P77" s="17"/>
      <c r="Q77" s="50"/>
      <c r="R77" s="6"/>
      <c r="S77" s="58"/>
      <c r="T77" s="63" t="str">
        <f t="shared" ca="1" si="13"/>
        <v/>
      </c>
      <c r="U77" s="3" t="str">
        <f t="shared" ca="1" si="14"/>
        <v/>
      </c>
      <c r="V77" s="3" t="str">
        <f t="shared" ca="1" si="15"/>
        <v/>
      </c>
      <c r="W77" s="1" t="str">
        <f t="shared" ca="1" si="16"/>
        <v/>
      </c>
      <c r="X77" s="1" t="str">
        <f t="shared" ca="1" si="17"/>
        <v/>
      </c>
      <c r="Y77" s="3" t="str">
        <f t="shared" ca="1" si="18"/>
        <v/>
      </c>
    </row>
    <row r="78" spans="1:25" s="3" customFormat="1" x14ac:dyDescent="0.4">
      <c r="A78" s="34" t="str">
        <f t="shared" si="19"/>
        <v/>
      </c>
      <c r="B78" s="15"/>
      <c r="C78" s="16"/>
      <c r="D78" s="5"/>
      <c r="E78" s="5"/>
      <c r="F78" s="5"/>
      <c r="G78" s="5"/>
      <c r="H78" s="5"/>
      <c r="I78" s="17"/>
      <c r="J78" s="16"/>
      <c r="K78" s="5"/>
      <c r="L78" s="5"/>
      <c r="M78" s="5"/>
      <c r="N78" s="5"/>
      <c r="O78" s="5"/>
      <c r="P78" s="17"/>
      <c r="Q78" s="50"/>
      <c r="R78" s="6"/>
      <c r="S78" s="58"/>
      <c r="T78" s="63" t="str">
        <f t="shared" ca="1" si="13"/>
        <v/>
      </c>
      <c r="U78" s="3" t="str">
        <f t="shared" ca="1" si="14"/>
        <v/>
      </c>
      <c r="V78" s="3" t="str">
        <f t="shared" ca="1" si="15"/>
        <v/>
      </c>
      <c r="W78" s="1" t="str">
        <f t="shared" ca="1" si="16"/>
        <v/>
      </c>
      <c r="X78" s="1" t="str">
        <f t="shared" ca="1" si="17"/>
        <v/>
      </c>
      <c r="Y78" s="3" t="str">
        <f t="shared" ca="1" si="18"/>
        <v/>
      </c>
    </row>
    <row r="79" spans="1:25" s="3" customFormat="1" x14ac:dyDescent="0.4">
      <c r="A79" s="34" t="str">
        <f t="shared" si="19"/>
        <v/>
      </c>
      <c r="B79" s="15"/>
      <c r="C79" s="16"/>
      <c r="D79" s="5"/>
      <c r="E79" s="5"/>
      <c r="F79" s="5"/>
      <c r="G79" s="5"/>
      <c r="H79" s="5"/>
      <c r="I79" s="17"/>
      <c r="J79" s="16"/>
      <c r="K79" s="5"/>
      <c r="L79" s="5"/>
      <c r="M79" s="5"/>
      <c r="N79" s="5"/>
      <c r="O79" s="5"/>
      <c r="P79" s="17"/>
      <c r="Q79" s="50"/>
      <c r="R79" s="6"/>
      <c r="S79" s="58"/>
      <c r="T79" s="63" t="str">
        <f t="shared" ca="1" si="13"/>
        <v/>
      </c>
      <c r="U79" s="3" t="str">
        <f t="shared" ca="1" si="14"/>
        <v/>
      </c>
      <c r="V79" s="3" t="str">
        <f t="shared" ca="1" si="15"/>
        <v/>
      </c>
      <c r="W79" s="1" t="str">
        <f t="shared" ca="1" si="16"/>
        <v/>
      </c>
      <c r="X79" s="1" t="str">
        <f t="shared" ca="1" si="17"/>
        <v/>
      </c>
      <c r="Y79" s="3" t="str">
        <f t="shared" ca="1" si="18"/>
        <v/>
      </c>
    </row>
    <row r="80" spans="1:25" s="3" customFormat="1" x14ac:dyDescent="0.4">
      <c r="A80" s="34" t="str">
        <f t="shared" si="19"/>
        <v/>
      </c>
      <c r="B80" s="15"/>
      <c r="C80" s="16"/>
      <c r="D80" s="5"/>
      <c r="E80" s="5"/>
      <c r="F80" s="5"/>
      <c r="G80" s="5"/>
      <c r="H80" s="5"/>
      <c r="I80" s="17"/>
      <c r="J80" s="16"/>
      <c r="K80" s="5"/>
      <c r="L80" s="5"/>
      <c r="M80" s="5"/>
      <c r="N80" s="5"/>
      <c r="O80" s="5"/>
      <c r="P80" s="17"/>
      <c r="Q80" s="50"/>
      <c r="R80" s="6"/>
      <c r="S80" s="58"/>
      <c r="T80" s="63" t="str">
        <f t="shared" ca="1" si="13"/>
        <v/>
      </c>
      <c r="U80" s="3" t="str">
        <f t="shared" ca="1" si="14"/>
        <v/>
      </c>
      <c r="V80" s="3" t="str">
        <f t="shared" ca="1" si="15"/>
        <v/>
      </c>
      <c r="W80" s="1" t="str">
        <f t="shared" ca="1" si="16"/>
        <v/>
      </c>
      <c r="X80" s="1" t="str">
        <f t="shared" ca="1" si="17"/>
        <v/>
      </c>
      <c r="Y80" s="3" t="str">
        <f t="shared" ca="1" si="18"/>
        <v/>
      </c>
    </row>
    <row r="81" spans="1:25" s="3" customFormat="1" x14ac:dyDescent="0.4">
      <c r="A81" s="34" t="str">
        <f t="shared" si="19"/>
        <v/>
      </c>
      <c r="B81" s="15"/>
      <c r="C81" s="16"/>
      <c r="D81" s="5"/>
      <c r="E81" s="5"/>
      <c r="F81" s="5"/>
      <c r="G81" s="5"/>
      <c r="H81" s="5"/>
      <c r="I81" s="17"/>
      <c r="J81" s="16"/>
      <c r="K81" s="5"/>
      <c r="L81" s="5"/>
      <c r="M81" s="5"/>
      <c r="N81" s="5"/>
      <c r="O81" s="5"/>
      <c r="P81" s="17"/>
      <c r="Q81" s="50"/>
      <c r="R81" s="6"/>
      <c r="S81" s="58"/>
      <c r="T81" s="63" t="str">
        <f t="shared" ca="1" si="13"/>
        <v/>
      </c>
      <c r="U81" s="3" t="str">
        <f t="shared" ca="1" si="14"/>
        <v/>
      </c>
      <c r="V81" s="3" t="str">
        <f t="shared" ca="1" si="15"/>
        <v/>
      </c>
      <c r="W81" s="1" t="str">
        <f t="shared" ca="1" si="16"/>
        <v/>
      </c>
      <c r="X81" s="1" t="str">
        <f t="shared" ca="1" si="17"/>
        <v/>
      </c>
      <c r="Y81" s="3" t="str">
        <f t="shared" ca="1" si="18"/>
        <v/>
      </c>
    </row>
    <row r="82" spans="1:25" s="3" customFormat="1" x14ac:dyDescent="0.4">
      <c r="A82" s="34" t="str">
        <f t="shared" si="19"/>
        <v/>
      </c>
      <c r="B82" s="15"/>
      <c r="C82" s="16"/>
      <c r="D82" s="5"/>
      <c r="E82" s="5"/>
      <c r="F82" s="5"/>
      <c r="G82" s="5"/>
      <c r="H82" s="5"/>
      <c r="I82" s="17"/>
      <c r="J82" s="16"/>
      <c r="K82" s="5"/>
      <c r="L82" s="5"/>
      <c r="M82" s="5"/>
      <c r="N82" s="5"/>
      <c r="O82" s="5"/>
      <c r="P82" s="17"/>
      <c r="Q82" s="50"/>
      <c r="R82" s="6"/>
      <c r="S82" s="58"/>
      <c r="T82" s="63" t="str">
        <f t="shared" ca="1" si="13"/>
        <v/>
      </c>
      <c r="U82" s="3" t="str">
        <f t="shared" ca="1" si="14"/>
        <v/>
      </c>
      <c r="V82" s="3" t="str">
        <f t="shared" ca="1" si="15"/>
        <v/>
      </c>
      <c r="W82" s="1" t="str">
        <f t="shared" ca="1" si="16"/>
        <v/>
      </c>
      <c r="X82" s="1" t="str">
        <f t="shared" ca="1" si="17"/>
        <v/>
      </c>
      <c r="Y82" s="3" t="str">
        <f t="shared" ca="1" si="18"/>
        <v/>
      </c>
    </row>
    <row r="83" spans="1:25" s="3" customFormat="1" x14ac:dyDescent="0.4">
      <c r="A83" s="34" t="str">
        <f t="shared" si="19"/>
        <v/>
      </c>
      <c r="B83" s="15"/>
      <c r="C83" s="16"/>
      <c r="D83" s="5"/>
      <c r="E83" s="5"/>
      <c r="F83" s="5"/>
      <c r="G83" s="5"/>
      <c r="H83" s="5"/>
      <c r="I83" s="17"/>
      <c r="J83" s="16"/>
      <c r="K83" s="5"/>
      <c r="L83" s="5"/>
      <c r="M83" s="5"/>
      <c r="N83" s="5"/>
      <c r="O83" s="5"/>
      <c r="P83" s="17"/>
      <c r="Q83" s="50"/>
      <c r="R83" s="6"/>
      <c r="S83" s="58"/>
      <c r="T83" s="63" t="str">
        <f t="shared" ca="1" si="13"/>
        <v/>
      </c>
      <c r="U83" s="3" t="str">
        <f t="shared" ca="1" si="14"/>
        <v/>
      </c>
      <c r="V83" s="3" t="str">
        <f t="shared" ca="1" si="15"/>
        <v/>
      </c>
      <c r="W83" s="1" t="str">
        <f t="shared" ca="1" si="16"/>
        <v/>
      </c>
      <c r="X83" s="1" t="str">
        <f t="shared" ca="1" si="17"/>
        <v/>
      </c>
      <c r="Y83" s="3" t="str">
        <f t="shared" ca="1" si="18"/>
        <v/>
      </c>
    </row>
    <row r="84" spans="1:25" s="3" customFormat="1" x14ac:dyDescent="0.4">
      <c r="A84" s="34" t="str">
        <f t="shared" si="19"/>
        <v/>
      </c>
      <c r="B84" s="15"/>
      <c r="C84" s="16"/>
      <c r="D84" s="5"/>
      <c r="E84" s="5"/>
      <c r="F84" s="5"/>
      <c r="G84" s="5"/>
      <c r="H84" s="5"/>
      <c r="I84" s="17"/>
      <c r="J84" s="16"/>
      <c r="K84" s="5"/>
      <c r="L84" s="5"/>
      <c r="M84" s="5"/>
      <c r="N84" s="5"/>
      <c r="O84" s="5"/>
      <c r="P84" s="17"/>
      <c r="Q84" s="50"/>
      <c r="R84" s="6"/>
      <c r="S84" s="58"/>
      <c r="T84" s="63" t="str">
        <f t="shared" ca="1" si="13"/>
        <v/>
      </c>
      <c r="U84" s="3" t="str">
        <f t="shared" ca="1" si="14"/>
        <v/>
      </c>
      <c r="V84" s="3" t="str">
        <f t="shared" ca="1" si="15"/>
        <v/>
      </c>
      <c r="W84" s="1" t="str">
        <f t="shared" ca="1" si="16"/>
        <v/>
      </c>
      <c r="X84" s="1" t="str">
        <f t="shared" ca="1" si="17"/>
        <v/>
      </c>
      <c r="Y84" s="3" t="str">
        <f t="shared" ca="1" si="18"/>
        <v/>
      </c>
    </row>
    <row r="85" spans="1:25" s="3" customFormat="1" x14ac:dyDescent="0.4">
      <c r="A85" s="34" t="str">
        <f t="shared" si="19"/>
        <v/>
      </c>
      <c r="B85" s="15"/>
      <c r="C85" s="16"/>
      <c r="D85" s="5"/>
      <c r="E85" s="5"/>
      <c r="F85" s="5"/>
      <c r="G85" s="5"/>
      <c r="H85" s="5"/>
      <c r="I85" s="17"/>
      <c r="J85" s="16"/>
      <c r="K85" s="5"/>
      <c r="L85" s="5"/>
      <c r="M85" s="5"/>
      <c r="N85" s="5"/>
      <c r="O85" s="5"/>
      <c r="P85" s="17"/>
      <c r="Q85" s="50"/>
      <c r="R85" s="6"/>
      <c r="S85" s="58"/>
      <c r="T85" s="63" t="str">
        <f t="shared" ca="1" si="13"/>
        <v/>
      </c>
      <c r="U85" s="3" t="str">
        <f t="shared" ca="1" si="14"/>
        <v/>
      </c>
      <c r="V85" s="3" t="str">
        <f t="shared" ca="1" si="15"/>
        <v/>
      </c>
      <c r="W85" s="1" t="str">
        <f t="shared" ca="1" si="16"/>
        <v/>
      </c>
      <c r="X85" s="1" t="str">
        <f t="shared" ca="1" si="17"/>
        <v/>
      </c>
      <c r="Y85" s="3" t="str">
        <f t="shared" ca="1" si="18"/>
        <v/>
      </c>
    </row>
    <row r="86" spans="1:25" s="3" customFormat="1" x14ac:dyDescent="0.4">
      <c r="A86" s="34" t="str">
        <f t="shared" si="19"/>
        <v/>
      </c>
      <c r="B86" s="15"/>
      <c r="C86" s="16"/>
      <c r="D86" s="5"/>
      <c r="E86" s="5"/>
      <c r="F86" s="5"/>
      <c r="G86" s="5"/>
      <c r="H86" s="5"/>
      <c r="I86" s="17"/>
      <c r="J86" s="16"/>
      <c r="K86" s="5"/>
      <c r="L86" s="5"/>
      <c r="M86" s="5"/>
      <c r="N86" s="5"/>
      <c r="O86" s="5"/>
      <c r="P86" s="17"/>
      <c r="Q86" s="50"/>
      <c r="R86" s="6"/>
      <c r="S86" s="58"/>
      <c r="T86" s="63" t="str">
        <f t="shared" ca="1" si="13"/>
        <v/>
      </c>
      <c r="U86" s="3" t="str">
        <f t="shared" ca="1" si="14"/>
        <v/>
      </c>
      <c r="V86" s="3" t="str">
        <f t="shared" ca="1" si="15"/>
        <v/>
      </c>
      <c r="W86" s="1" t="str">
        <f t="shared" ca="1" si="16"/>
        <v/>
      </c>
      <c r="X86" s="1" t="str">
        <f t="shared" ca="1" si="17"/>
        <v/>
      </c>
      <c r="Y86" s="3" t="str">
        <f t="shared" ca="1" si="18"/>
        <v/>
      </c>
    </row>
    <row r="87" spans="1:25" s="3" customFormat="1" x14ac:dyDescent="0.4">
      <c r="A87" s="34" t="str">
        <f t="shared" si="19"/>
        <v/>
      </c>
      <c r="B87" s="15"/>
      <c r="C87" s="16"/>
      <c r="D87" s="5"/>
      <c r="E87" s="5"/>
      <c r="F87" s="5"/>
      <c r="G87" s="5"/>
      <c r="H87" s="5"/>
      <c r="I87" s="17"/>
      <c r="J87" s="16"/>
      <c r="K87" s="5"/>
      <c r="L87" s="5"/>
      <c r="M87" s="5"/>
      <c r="N87" s="5"/>
      <c r="O87" s="5"/>
      <c r="P87" s="17"/>
      <c r="Q87" s="50"/>
      <c r="R87" s="6"/>
      <c r="S87" s="58"/>
      <c r="T87" s="63" t="str">
        <f t="shared" ca="1" si="13"/>
        <v/>
      </c>
      <c r="U87" s="3" t="str">
        <f t="shared" ca="1" si="14"/>
        <v/>
      </c>
      <c r="V87" s="3" t="str">
        <f t="shared" ca="1" si="15"/>
        <v/>
      </c>
      <c r="W87" s="1" t="str">
        <f t="shared" ca="1" si="16"/>
        <v/>
      </c>
      <c r="X87" s="1" t="str">
        <f t="shared" ca="1" si="17"/>
        <v/>
      </c>
      <c r="Y87" s="3" t="str">
        <f t="shared" ca="1" si="18"/>
        <v/>
      </c>
    </row>
    <row r="88" spans="1:25" s="3" customFormat="1" x14ac:dyDescent="0.4">
      <c r="A88" s="34" t="str">
        <f t="shared" si="19"/>
        <v/>
      </c>
      <c r="B88" s="15"/>
      <c r="C88" s="16"/>
      <c r="D88" s="5"/>
      <c r="E88" s="5"/>
      <c r="F88" s="5"/>
      <c r="G88" s="5"/>
      <c r="H88" s="5"/>
      <c r="I88" s="17"/>
      <c r="J88" s="16"/>
      <c r="K88" s="5"/>
      <c r="L88" s="5"/>
      <c r="M88" s="5"/>
      <c r="N88" s="5"/>
      <c r="O88" s="5"/>
      <c r="P88" s="17"/>
      <c r="Q88" s="50"/>
      <c r="R88" s="6"/>
      <c r="S88" s="58"/>
      <c r="T88" s="63" t="str">
        <f t="shared" ca="1" si="13"/>
        <v/>
      </c>
      <c r="U88" s="3" t="str">
        <f t="shared" ca="1" si="14"/>
        <v/>
      </c>
      <c r="V88" s="3" t="str">
        <f t="shared" ca="1" si="15"/>
        <v/>
      </c>
      <c r="W88" s="1" t="str">
        <f t="shared" ca="1" si="16"/>
        <v/>
      </c>
      <c r="X88" s="1" t="str">
        <f t="shared" ca="1" si="17"/>
        <v/>
      </c>
      <c r="Y88" s="3" t="str">
        <f t="shared" ca="1" si="18"/>
        <v/>
      </c>
    </row>
    <row r="89" spans="1:25" s="3" customFormat="1" x14ac:dyDescent="0.4">
      <c r="A89" s="34" t="str">
        <f t="shared" si="19"/>
        <v/>
      </c>
      <c r="B89" s="15"/>
      <c r="C89" s="16"/>
      <c r="D89" s="5"/>
      <c r="E89" s="5"/>
      <c r="F89" s="5"/>
      <c r="G89" s="5"/>
      <c r="H89" s="5"/>
      <c r="I89" s="17"/>
      <c r="J89" s="16"/>
      <c r="K89" s="5"/>
      <c r="L89" s="5"/>
      <c r="M89" s="5"/>
      <c r="N89" s="5"/>
      <c r="O89" s="5"/>
      <c r="P89" s="17"/>
      <c r="Q89" s="50"/>
      <c r="R89" s="6"/>
      <c r="S89" s="58"/>
      <c r="T89" s="63" t="str">
        <f t="shared" ca="1" si="13"/>
        <v/>
      </c>
      <c r="U89" s="3" t="str">
        <f t="shared" ca="1" si="14"/>
        <v/>
      </c>
      <c r="V89" s="3" t="str">
        <f t="shared" ca="1" si="15"/>
        <v/>
      </c>
      <c r="W89" s="1" t="str">
        <f t="shared" ca="1" si="16"/>
        <v/>
      </c>
      <c r="X89" s="1" t="str">
        <f t="shared" ca="1" si="17"/>
        <v/>
      </c>
      <c r="Y89" s="3" t="str">
        <f t="shared" ca="1" si="18"/>
        <v/>
      </c>
    </row>
    <row r="90" spans="1:25" s="3" customFormat="1" x14ac:dyDescent="0.4">
      <c r="A90" s="34" t="str">
        <f t="shared" si="19"/>
        <v/>
      </c>
      <c r="B90" s="15"/>
      <c r="C90" s="16"/>
      <c r="D90" s="5"/>
      <c r="E90" s="5"/>
      <c r="F90" s="5"/>
      <c r="G90" s="5"/>
      <c r="H90" s="5"/>
      <c r="I90" s="17"/>
      <c r="J90" s="16"/>
      <c r="K90" s="5"/>
      <c r="L90" s="5"/>
      <c r="M90" s="5"/>
      <c r="N90" s="5"/>
      <c r="O90" s="5"/>
      <c r="P90" s="17"/>
      <c r="Q90" s="50"/>
      <c r="R90" s="6"/>
      <c r="S90" s="58"/>
      <c r="T90" s="63" t="str">
        <f t="shared" ca="1" si="13"/>
        <v/>
      </c>
      <c r="U90" s="3" t="str">
        <f t="shared" ca="1" si="14"/>
        <v/>
      </c>
      <c r="V90" s="3" t="str">
        <f t="shared" ca="1" si="15"/>
        <v/>
      </c>
      <c r="W90" s="1" t="str">
        <f t="shared" ca="1" si="16"/>
        <v/>
      </c>
      <c r="X90" s="1" t="str">
        <f t="shared" ca="1" si="17"/>
        <v/>
      </c>
      <c r="Y90" s="3" t="str">
        <f t="shared" ca="1" si="18"/>
        <v/>
      </c>
    </row>
    <row r="91" spans="1:25" s="3" customFormat="1" x14ac:dyDescent="0.4">
      <c r="A91" s="34" t="str">
        <f t="shared" si="19"/>
        <v/>
      </c>
      <c r="B91" s="15"/>
      <c r="C91" s="16"/>
      <c r="D91" s="5"/>
      <c r="E91" s="5"/>
      <c r="F91" s="5"/>
      <c r="G91" s="5"/>
      <c r="H91" s="5"/>
      <c r="I91" s="17"/>
      <c r="J91" s="16"/>
      <c r="K91" s="5"/>
      <c r="L91" s="5"/>
      <c r="M91" s="5"/>
      <c r="N91" s="5"/>
      <c r="O91" s="5"/>
      <c r="P91" s="17"/>
      <c r="Q91" s="50"/>
      <c r="R91" s="6"/>
      <c r="S91" s="58"/>
      <c r="T91" s="63" t="str">
        <f t="shared" ca="1" si="13"/>
        <v/>
      </c>
      <c r="U91" s="3" t="str">
        <f t="shared" ca="1" si="14"/>
        <v/>
      </c>
      <c r="V91" s="3" t="str">
        <f t="shared" ca="1" si="15"/>
        <v/>
      </c>
      <c r="W91" s="1" t="str">
        <f t="shared" ca="1" si="16"/>
        <v/>
      </c>
      <c r="X91" s="1" t="str">
        <f t="shared" ca="1" si="17"/>
        <v/>
      </c>
      <c r="Y91" s="3" t="str">
        <f t="shared" ca="1" si="18"/>
        <v/>
      </c>
    </row>
    <row r="92" spans="1:25" s="3" customFormat="1" x14ac:dyDescent="0.4">
      <c r="A92" s="34" t="str">
        <f t="shared" si="19"/>
        <v/>
      </c>
      <c r="B92" s="15"/>
      <c r="C92" s="16"/>
      <c r="D92" s="5"/>
      <c r="E92" s="5"/>
      <c r="F92" s="5"/>
      <c r="G92" s="5"/>
      <c r="H92" s="5"/>
      <c r="I92" s="17"/>
      <c r="J92" s="16"/>
      <c r="K92" s="5"/>
      <c r="L92" s="5"/>
      <c r="M92" s="5"/>
      <c r="N92" s="5"/>
      <c r="O92" s="5"/>
      <c r="P92" s="17"/>
      <c r="Q92" s="50"/>
      <c r="R92" s="6"/>
      <c r="S92" s="58"/>
      <c r="T92" s="63" t="str">
        <f t="shared" ca="1" si="13"/>
        <v/>
      </c>
      <c r="U92" s="3" t="str">
        <f t="shared" ca="1" si="14"/>
        <v/>
      </c>
      <c r="V92" s="3" t="str">
        <f t="shared" ca="1" si="15"/>
        <v/>
      </c>
      <c r="W92" s="1" t="str">
        <f t="shared" ca="1" si="16"/>
        <v/>
      </c>
      <c r="X92" s="1" t="str">
        <f t="shared" ca="1" si="17"/>
        <v/>
      </c>
      <c r="Y92" s="3" t="str">
        <f t="shared" ca="1" si="18"/>
        <v/>
      </c>
    </row>
    <row r="93" spans="1:25" s="3" customFormat="1" x14ac:dyDescent="0.4">
      <c r="A93" s="34" t="str">
        <f t="shared" si="19"/>
        <v/>
      </c>
      <c r="B93" s="15"/>
      <c r="C93" s="16"/>
      <c r="D93" s="5"/>
      <c r="E93" s="5"/>
      <c r="F93" s="5"/>
      <c r="G93" s="5"/>
      <c r="H93" s="5"/>
      <c r="I93" s="17"/>
      <c r="J93" s="16"/>
      <c r="K93" s="5"/>
      <c r="L93" s="5"/>
      <c r="M93" s="5"/>
      <c r="N93" s="5"/>
      <c r="O93" s="5"/>
      <c r="P93" s="17"/>
      <c r="Q93" s="50"/>
      <c r="R93" s="6"/>
      <c r="S93" s="58"/>
      <c r="T93" s="63" t="str">
        <f t="shared" ca="1" si="13"/>
        <v/>
      </c>
      <c r="U93" s="3" t="str">
        <f t="shared" ca="1" si="14"/>
        <v/>
      </c>
      <c r="V93" s="3" t="str">
        <f t="shared" ca="1" si="15"/>
        <v/>
      </c>
      <c r="W93" s="1" t="str">
        <f t="shared" ca="1" si="16"/>
        <v/>
      </c>
      <c r="X93" s="1" t="str">
        <f t="shared" ca="1" si="17"/>
        <v/>
      </c>
      <c r="Y93" s="3" t="str">
        <f t="shared" ca="1" si="18"/>
        <v/>
      </c>
    </row>
    <row r="94" spans="1:25" s="3" customFormat="1" x14ac:dyDescent="0.4">
      <c r="A94" s="34" t="str">
        <f t="shared" si="19"/>
        <v/>
      </c>
      <c r="B94" s="15"/>
      <c r="C94" s="16"/>
      <c r="D94" s="5"/>
      <c r="E94" s="5"/>
      <c r="F94" s="5"/>
      <c r="G94" s="5"/>
      <c r="H94" s="5"/>
      <c r="I94" s="17"/>
      <c r="J94" s="16"/>
      <c r="K94" s="5"/>
      <c r="L94" s="5"/>
      <c r="M94" s="5"/>
      <c r="N94" s="5"/>
      <c r="O94" s="5"/>
      <c r="P94" s="17"/>
      <c r="Q94" s="50"/>
      <c r="R94" s="6"/>
      <c r="S94" s="58"/>
      <c r="T94" s="63" t="str">
        <f t="shared" ca="1" si="13"/>
        <v/>
      </c>
      <c r="U94" s="3" t="str">
        <f t="shared" ca="1" si="14"/>
        <v/>
      </c>
      <c r="V94" s="3" t="str">
        <f t="shared" ca="1" si="15"/>
        <v/>
      </c>
      <c r="W94" s="1" t="str">
        <f t="shared" ca="1" si="16"/>
        <v/>
      </c>
      <c r="X94" s="1" t="str">
        <f t="shared" ca="1" si="17"/>
        <v/>
      </c>
      <c r="Y94" s="3" t="str">
        <f t="shared" ca="1" si="18"/>
        <v/>
      </c>
    </row>
    <row r="95" spans="1:25" s="3" customFormat="1" x14ac:dyDescent="0.4">
      <c r="A95" s="34" t="str">
        <f t="shared" si="19"/>
        <v/>
      </c>
      <c r="B95" s="15"/>
      <c r="C95" s="16"/>
      <c r="D95" s="5"/>
      <c r="E95" s="5"/>
      <c r="F95" s="5"/>
      <c r="G95" s="5"/>
      <c r="H95" s="5"/>
      <c r="I95" s="17"/>
      <c r="J95" s="16"/>
      <c r="K95" s="5"/>
      <c r="L95" s="5"/>
      <c r="M95" s="5"/>
      <c r="N95" s="5"/>
      <c r="O95" s="5"/>
      <c r="P95" s="17"/>
      <c r="Q95" s="50"/>
      <c r="R95" s="6"/>
      <c r="S95" s="58"/>
      <c r="T95" s="63" t="str">
        <f t="shared" ca="1" si="13"/>
        <v/>
      </c>
      <c r="U95" s="3" t="str">
        <f t="shared" ca="1" si="14"/>
        <v/>
      </c>
      <c r="V95" s="3" t="str">
        <f t="shared" ca="1" si="15"/>
        <v/>
      </c>
      <c r="W95" s="1" t="str">
        <f t="shared" ca="1" si="16"/>
        <v/>
      </c>
      <c r="X95" s="1" t="str">
        <f t="shared" ca="1" si="17"/>
        <v/>
      </c>
      <c r="Y95" s="3" t="str">
        <f t="shared" ca="1" si="18"/>
        <v/>
      </c>
    </row>
    <row r="96" spans="1:25" s="3" customFormat="1" x14ac:dyDescent="0.4">
      <c r="A96" s="34" t="str">
        <f t="shared" si="19"/>
        <v/>
      </c>
      <c r="B96" s="15"/>
      <c r="C96" s="16"/>
      <c r="D96" s="5"/>
      <c r="E96" s="5"/>
      <c r="F96" s="5"/>
      <c r="G96" s="5"/>
      <c r="H96" s="5"/>
      <c r="I96" s="17"/>
      <c r="J96" s="16"/>
      <c r="K96" s="5"/>
      <c r="L96" s="5"/>
      <c r="M96" s="5"/>
      <c r="N96" s="5"/>
      <c r="O96" s="5"/>
      <c r="P96" s="17"/>
      <c r="Q96" s="50"/>
      <c r="R96" s="6"/>
      <c r="S96" s="58"/>
      <c r="T96" s="63" t="str">
        <f t="shared" ca="1" si="13"/>
        <v/>
      </c>
      <c r="U96" s="3" t="str">
        <f t="shared" ca="1" si="14"/>
        <v/>
      </c>
      <c r="V96" s="3" t="str">
        <f t="shared" ca="1" si="15"/>
        <v/>
      </c>
      <c r="W96" s="1" t="str">
        <f t="shared" ca="1" si="16"/>
        <v/>
      </c>
      <c r="X96" s="1" t="str">
        <f t="shared" ca="1" si="17"/>
        <v/>
      </c>
      <c r="Y96" s="3" t="str">
        <f t="shared" ca="1" si="18"/>
        <v/>
      </c>
    </row>
    <row r="97" spans="1:25" s="3" customFormat="1" x14ac:dyDescent="0.4">
      <c r="A97" s="34" t="str">
        <f t="shared" si="19"/>
        <v/>
      </c>
      <c r="B97" s="15"/>
      <c r="C97" s="16"/>
      <c r="D97" s="5"/>
      <c r="E97" s="5"/>
      <c r="F97" s="5"/>
      <c r="G97" s="5"/>
      <c r="H97" s="5"/>
      <c r="I97" s="17"/>
      <c r="J97" s="16"/>
      <c r="K97" s="5"/>
      <c r="L97" s="5"/>
      <c r="M97" s="5"/>
      <c r="N97" s="5"/>
      <c r="O97" s="5"/>
      <c r="P97" s="17"/>
      <c r="Q97" s="50"/>
      <c r="R97" s="6"/>
      <c r="S97" s="58"/>
      <c r="T97" s="63" t="str">
        <f t="shared" ca="1" si="13"/>
        <v/>
      </c>
      <c r="U97" s="3" t="str">
        <f t="shared" ca="1" si="14"/>
        <v/>
      </c>
      <c r="V97" s="3" t="str">
        <f t="shared" ca="1" si="15"/>
        <v/>
      </c>
      <c r="W97" s="1" t="str">
        <f t="shared" ca="1" si="16"/>
        <v/>
      </c>
      <c r="X97" s="1" t="str">
        <f t="shared" ca="1" si="17"/>
        <v/>
      </c>
      <c r="Y97" s="3" t="str">
        <f t="shared" ca="1" si="18"/>
        <v/>
      </c>
    </row>
    <row r="98" spans="1:25" s="3" customFormat="1" x14ac:dyDescent="0.4">
      <c r="A98" s="34" t="str">
        <f t="shared" si="19"/>
        <v/>
      </c>
      <c r="B98" s="15"/>
      <c r="C98" s="16"/>
      <c r="D98" s="5"/>
      <c r="E98" s="5"/>
      <c r="F98" s="5"/>
      <c r="G98" s="5"/>
      <c r="H98" s="5"/>
      <c r="I98" s="17"/>
      <c r="J98" s="16"/>
      <c r="K98" s="5"/>
      <c r="L98" s="5"/>
      <c r="M98" s="5"/>
      <c r="N98" s="5"/>
      <c r="O98" s="5"/>
      <c r="P98" s="17"/>
      <c r="Q98" s="50"/>
      <c r="R98" s="6"/>
      <c r="S98" s="58"/>
      <c r="T98" s="63" t="str">
        <f t="shared" ca="1" si="13"/>
        <v/>
      </c>
      <c r="U98" s="3" t="str">
        <f t="shared" ca="1" si="14"/>
        <v/>
      </c>
      <c r="V98" s="3" t="str">
        <f t="shared" ca="1" si="15"/>
        <v/>
      </c>
      <c r="W98" s="1" t="str">
        <f t="shared" ca="1" si="16"/>
        <v/>
      </c>
      <c r="X98" s="1" t="str">
        <f t="shared" ca="1" si="17"/>
        <v/>
      </c>
      <c r="Y98" s="3" t="str">
        <f t="shared" ca="1" si="18"/>
        <v/>
      </c>
    </row>
    <row r="99" spans="1:25" s="3" customFormat="1" x14ac:dyDescent="0.4">
      <c r="A99" s="34" t="str">
        <f t="shared" si="19"/>
        <v/>
      </c>
      <c r="B99" s="15"/>
      <c r="C99" s="16"/>
      <c r="D99" s="5"/>
      <c r="E99" s="5"/>
      <c r="F99" s="5"/>
      <c r="G99" s="5"/>
      <c r="H99" s="5"/>
      <c r="I99" s="17"/>
      <c r="J99" s="16"/>
      <c r="K99" s="5"/>
      <c r="L99" s="5"/>
      <c r="M99" s="5"/>
      <c r="N99" s="5"/>
      <c r="O99" s="5"/>
      <c r="P99" s="17"/>
      <c r="Q99" s="50"/>
      <c r="R99" s="6"/>
      <c r="S99" s="58"/>
      <c r="T99" s="63" t="str">
        <f t="shared" ca="1" si="13"/>
        <v/>
      </c>
      <c r="U99" s="3" t="str">
        <f t="shared" ca="1" si="14"/>
        <v/>
      </c>
      <c r="V99" s="3" t="str">
        <f t="shared" ca="1" si="15"/>
        <v/>
      </c>
      <c r="W99" s="1" t="str">
        <f t="shared" ca="1" si="16"/>
        <v/>
      </c>
      <c r="X99" s="1" t="str">
        <f t="shared" ca="1" si="17"/>
        <v/>
      </c>
      <c r="Y99" s="3" t="str">
        <f t="shared" ca="1" si="18"/>
        <v/>
      </c>
    </row>
    <row r="100" spans="1:25" s="3" customFormat="1" x14ac:dyDescent="0.4">
      <c r="A100" s="34" t="str">
        <f t="shared" si="19"/>
        <v/>
      </c>
      <c r="B100" s="15"/>
      <c r="C100" s="16"/>
      <c r="D100" s="5"/>
      <c r="E100" s="5"/>
      <c r="F100" s="5"/>
      <c r="G100" s="5"/>
      <c r="H100" s="5"/>
      <c r="I100" s="17"/>
      <c r="J100" s="16"/>
      <c r="K100" s="5"/>
      <c r="L100" s="5"/>
      <c r="M100" s="5"/>
      <c r="N100" s="5"/>
      <c r="O100" s="5"/>
      <c r="P100" s="17"/>
      <c r="Q100" s="50"/>
      <c r="R100" s="6"/>
      <c r="S100" s="58"/>
      <c r="T100" s="63" t="str">
        <f t="shared" ca="1" si="13"/>
        <v/>
      </c>
      <c r="U100" s="3" t="str">
        <f t="shared" ca="1" si="14"/>
        <v/>
      </c>
      <c r="V100" s="3" t="str">
        <f t="shared" ca="1" si="15"/>
        <v/>
      </c>
      <c r="W100" s="1" t="str">
        <f t="shared" ca="1" si="16"/>
        <v/>
      </c>
      <c r="X100" s="1" t="str">
        <f t="shared" ca="1" si="17"/>
        <v/>
      </c>
      <c r="Y100" s="3" t="str">
        <f t="shared" ca="1" si="18"/>
        <v/>
      </c>
    </row>
    <row r="101" spans="1:25" s="3" customFormat="1" x14ac:dyDescent="0.4">
      <c r="A101" s="34" t="str">
        <f t="shared" si="19"/>
        <v/>
      </c>
      <c r="B101" s="15"/>
      <c r="C101" s="16"/>
      <c r="D101" s="5"/>
      <c r="E101" s="5"/>
      <c r="F101" s="5"/>
      <c r="G101" s="5"/>
      <c r="H101" s="5"/>
      <c r="I101" s="17"/>
      <c r="J101" s="16"/>
      <c r="K101" s="5"/>
      <c r="L101" s="5"/>
      <c r="M101" s="5"/>
      <c r="N101" s="5"/>
      <c r="O101" s="5"/>
      <c r="P101" s="17"/>
      <c r="Q101" s="50"/>
      <c r="R101" s="6"/>
      <c r="S101" s="58"/>
      <c r="T101" s="63" t="str">
        <f t="shared" ref="T101:T132" ca="1" si="20">IF(ISNA(VLOOKUP(E101,地址類別Mapping,2,FALSE)),"",VLOOKUP(E101,地址類別Mapping,2,FALSE))</f>
        <v/>
      </c>
      <c r="U101" s="3" t="str">
        <f t="shared" ref="U101:U132" ca="1" si="21">IF(ISNA(VLOOKUP(F101&amp;"-"&amp;G101,郵遞區號,2,FALSE)),"",VLOOKUP(F101&amp;"-"&amp;G101,郵遞區號,2,FALSE))</f>
        <v/>
      </c>
      <c r="V101" s="3" t="str">
        <f t="shared" ref="V101:V132" ca="1" si="22">IF(ISNA(VLOOKUP(M101&amp;"-"&amp;N101,郵遞區號,2,FALSE)),"",VLOOKUP(M101&amp;"-"&amp;N101,郵遞區號,2,FALSE))</f>
        <v/>
      </c>
      <c r="W101" s="1" t="str">
        <f t="shared" ref="W101:W132" ca="1" si="23">IF(ISNA(VLOOKUP(B101,郵件種類MAPPING,2,FALSE)),"",VLOOKUP(B101,郵件種類MAPPING,2,FALSE))</f>
        <v/>
      </c>
      <c r="X101" s="1" t="str">
        <f t="shared" ref="X101:X132" ca="1" si="24">IF(ISNA(VLOOKUP(R101,箱袋種類Mapping,2,FALSE)),"",VLOOKUP(R101,箱袋種類Mapping,2,FALSE))</f>
        <v/>
      </c>
      <c r="Y101" s="3" t="str">
        <f t="shared" ref="Y101:Y132" ca="1" si="25">IF(ISNA(VLOOKUP(B101,郵件種類MAPPING,2,FALSE)),"","203")</f>
        <v/>
      </c>
    </row>
    <row r="102" spans="1:25" s="3" customFormat="1" x14ac:dyDescent="0.4">
      <c r="A102" s="34" t="str">
        <f t="shared" si="19"/>
        <v/>
      </c>
      <c r="B102" s="15"/>
      <c r="C102" s="16"/>
      <c r="D102" s="5"/>
      <c r="E102" s="5"/>
      <c r="F102" s="5"/>
      <c r="G102" s="5"/>
      <c r="H102" s="5"/>
      <c r="I102" s="17"/>
      <c r="J102" s="16"/>
      <c r="K102" s="5"/>
      <c r="L102" s="5"/>
      <c r="M102" s="5"/>
      <c r="N102" s="5"/>
      <c r="O102" s="5"/>
      <c r="P102" s="17"/>
      <c r="Q102" s="50"/>
      <c r="R102" s="6"/>
      <c r="S102" s="58"/>
      <c r="T102" s="63" t="str">
        <f t="shared" ca="1" si="20"/>
        <v/>
      </c>
      <c r="U102" s="3" t="str">
        <f t="shared" ca="1" si="21"/>
        <v/>
      </c>
      <c r="V102" s="3" t="str">
        <f t="shared" ca="1" si="22"/>
        <v/>
      </c>
      <c r="W102" s="1" t="str">
        <f t="shared" ca="1" si="23"/>
        <v/>
      </c>
      <c r="X102" s="1" t="str">
        <f t="shared" ca="1" si="24"/>
        <v/>
      </c>
      <c r="Y102" s="3" t="str">
        <f t="shared" ca="1" si="25"/>
        <v/>
      </c>
    </row>
    <row r="103" spans="1:25" s="3" customFormat="1" x14ac:dyDescent="0.4">
      <c r="A103" s="34" t="str">
        <f t="shared" si="19"/>
        <v/>
      </c>
      <c r="B103" s="15"/>
      <c r="C103" s="16"/>
      <c r="D103" s="5"/>
      <c r="E103" s="5"/>
      <c r="F103" s="5"/>
      <c r="G103" s="5"/>
      <c r="H103" s="5"/>
      <c r="I103" s="17"/>
      <c r="J103" s="16"/>
      <c r="K103" s="5"/>
      <c r="L103" s="5"/>
      <c r="M103" s="5"/>
      <c r="N103" s="5"/>
      <c r="O103" s="5"/>
      <c r="P103" s="17"/>
      <c r="Q103" s="50"/>
      <c r="R103" s="6"/>
      <c r="S103" s="58"/>
      <c r="T103" s="63" t="str">
        <f t="shared" ca="1" si="20"/>
        <v/>
      </c>
      <c r="U103" s="3" t="str">
        <f t="shared" ca="1" si="21"/>
        <v/>
      </c>
      <c r="V103" s="3" t="str">
        <f t="shared" ca="1" si="22"/>
        <v/>
      </c>
      <c r="W103" s="1" t="str">
        <f t="shared" ca="1" si="23"/>
        <v/>
      </c>
      <c r="X103" s="1" t="str">
        <f t="shared" ca="1" si="24"/>
        <v/>
      </c>
      <c r="Y103" s="3" t="str">
        <f t="shared" ca="1" si="25"/>
        <v/>
      </c>
    </row>
    <row r="104" spans="1:25" s="3" customFormat="1" x14ac:dyDescent="0.4">
      <c r="A104" s="34" t="str">
        <f t="shared" si="19"/>
        <v/>
      </c>
      <c r="B104" s="15"/>
      <c r="C104" s="16"/>
      <c r="D104" s="5"/>
      <c r="E104" s="5"/>
      <c r="F104" s="5"/>
      <c r="G104" s="5"/>
      <c r="H104" s="5"/>
      <c r="I104" s="17"/>
      <c r="J104" s="16"/>
      <c r="K104" s="5"/>
      <c r="L104" s="5"/>
      <c r="M104" s="5"/>
      <c r="N104" s="5"/>
      <c r="O104" s="5"/>
      <c r="P104" s="17"/>
      <c r="Q104" s="50"/>
      <c r="R104" s="6"/>
      <c r="S104" s="58"/>
      <c r="T104" s="63" t="str">
        <f t="shared" ca="1" si="20"/>
        <v/>
      </c>
      <c r="U104" s="3" t="str">
        <f t="shared" ca="1" si="21"/>
        <v/>
      </c>
      <c r="V104" s="3" t="str">
        <f t="shared" ca="1" si="22"/>
        <v/>
      </c>
      <c r="W104" s="1" t="str">
        <f t="shared" ca="1" si="23"/>
        <v/>
      </c>
      <c r="X104" s="1" t="str">
        <f t="shared" ca="1" si="24"/>
        <v/>
      </c>
      <c r="Y104" s="3" t="str">
        <f t="shared" ca="1" si="25"/>
        <v/>
      </c>
    </row>
    <row r="105" spans="1:25" s="3" customFormat="1" x14ac:dyDescent="0.4">
      <c r="A105" s="34" t="str">
        <f t="shared" si="19"/>
        <v/>
      </c>
      <c r="B105" s="15"/>
      <c r="C105" s="16"/>
      <c r="D105" s="5"/>
      <c r="E105" s="5"/>
      <c r="F105" s="5"/>
      <c r="G105" s="5"/>
      <c r="H105" s="5"/>
      <c r="I105" s="17"/>
      <c r="J105" s="16"/>
      <c r="K105" s="5"/>
      <c r="L105" s="5"/>
      <c r="M105" s="5"/>
      <c r="N105" s="5"/>
      <c r="O105" s="5"/>
      <c r="P105" s="17"/>
      <c r="Q105" s="50"/>
      <c r="R105" s="6"/>
      <c r="S105" s="58"/>
      <c r="T105" s="63" t="str">
        <f t="shared" ca="1" si="20"/>
        <v/>
      </c>
      <c r="U105" s="3" t="str">
        <f t="shared" ca="1" si="21"/>
        <v/>
      </c>
      <c r="V105" s="3" t="str">
        <f t="shared" ca="1" si="22"/>
        <v/>
      </c>
      <c r="W105" s="1" t="str">
        <f t="shared" ca="1" si="23"/>
        <v/>
      </c>
      <c r="X105" s="1" t="str">
        <f t="shared" ca="1" si="24"/>
        <v/>
      </c>
      <c r="Y105" s="3" t="str">
        <f t="shared" ca="1" si="25"/>
        <v/>
      </c>
    </row>
    <row r="106" spans="1:25" s="3" customFormat="1" x14ac:dyDescent="0.4">
      <c r="A106" s="34" t="str">
        <f t="shared" si="19"/>
        <v/>
      </c>
      <c r="B106" s="15"/>
      <c r="C106" s="16"/>
      <c r="D106" s="5"/>
      <c r="E106" s="5"/>
      <c r="F106" s="5"/>
      <c r="G106" s="5"/>
      <c r="H106" s="5"/>
      <c r="I106" s="17"/>
      <c r="J106" s="16"/>
      <c r="K106" s="5"/>
      <c r="L106" s="5"/>
      <c r="M106" s="5"/>
      <c r="N106" s="5"/>
      <c r="O106" s="5"/>
      <c r="P106" s="17"/>
      <c r="Q106" s="50"/>
      <c r="R106" s="6"/>
      <c r="S106" s="58"/>
      <c r="T106" s="63" t="str">
        <f t="shared" ca="1" si="20"/>
        <v/>
      </c>
      <c r="U106" s="3" t="str">
        <f t="shared" ca="1" si="21"/>
        <v/>
      </c>
      <c r="V106" s="3" t="str">
        <f t="shared" ca="1" si="22"/>
        <v/>
      </c>
      <c r="W106" s="1" t="str">
        <f t="shared" ca="1" si="23"/>
        <v/>
      </c>
      <c r="X106" s="1" t="str">
        <f t="shared" ca="1" si="24"/>
        <v/>
      </c>
      <c r="Y106" s="3" t="str">
        <f t="shared" ca="1" si="25"/>
        <v/>
      </c>
    </row>
    <row r="107" spans="1:25" s="3" customFormat="1" x14ac:dyDescent="0.4">
      <c r="A107" s="34" t="str">
        <f t="shared" si="19"/>
        <v/>
      </c>
      <c r="B107" s="15"/>
      <c r="C107" s="16"/>
      <c r="D107" s="5"/>
      <c r="E107" s="5"/>
      <c r="F107" s="5"/>
      <c r="G107" s="5"/>
      <c r="H107" s="5"/>
      <c r="I107" s="17"/>
      <c r="J107" s="16"/>
      <c r="K107" s="5"/>
      <c r="L107" s="5"/>
      <c r="M107" s="5"/>
      <c r="N107" s="5"/>
      <c r="O107" s="5"/>
      <c r="P107" s="17"/>
      <c r="Q107" s="50"/>
      <c r="R107" s="6"/>
      <c r="S107" s="58"/>
      <c r="T107" s="63" t="str">
        <f t="shared" ca="1" si="20"/>
        <v/>
      </c>
      <c r="U107" s="3" t="str">
        <f t="shared" ca="1" si="21"/>
        <v/>
      </c>
      <c r="V107" s="3" t="str">
        <f t="shared" ca="1" si="22"/>
        <v/>
      </c>
      <c r="W107" s="1" t="str">
        <f t="shared" ca="1" si="23"/>
        <v/>
      </c>
      <c r="X107" s="1" t="str">
        <f t="shared" ca="1" si="24"/>
        <v/>
      </c>
      <c r="Y107" s="3" t="str">
        <f t="shared" ca="1" si="25"/>
        <v/>
      </c>
    </row>
    <row r="108" spans="1:25" s="3" customFormat="1" x14ac:dyDescent="0.4">
      <c r="A108" s="34" t="str">
        <f t="shared" si="19"/>
        <v/>
      </c>
      <c r="B108" s="15"/>
      <c r="C108" s="16"/>
      <c r="D108" s="5"/>
      <c r="E108" s="5"/>
      <c r="F108" s="5"/>
      <c r="G108" s="5"/>
      <c r="H108" s="5"/>
      <c r="I108" s="17"/>
      <c r="J108" s="16"/>
      <c r="K108" s="5"/>
      <c r="L108" s="5"/>
      <c r="M108" s="5"/>
      <c r="N108" s="5"/>
      <c r="O108" s="5"/>
      <c r="P108" s="17"/>
      <c r="Q108" s="50"/>
      <c r="R108" s="6"/>
      <c r="S108" s="58"/>
      <c r="T108" s="63" t="str">
        <f t="shared" ca="1" si="20"/>
        <v/>
      </c>
      <c r="U108" s="3" t="str">
        <f t="shared" ca="1" si="21"/>
        <v/>
      </c>
      <c r="V108" s="3" t="str">
        <f t="shared" ca="1" si="22"/>
        <v/>
      </c>
      <c r="W108" s="1" t="str">
        <f t="shared" ca="1" si="23"/>
        <v/>
      </c>
      <c r="X108" s="1" t="str">
        <f t="shared" ca="1" si="24"/>
        <v/>
      </c>
      <c r="Y108" s="3" t="str">
        <f t="shared" ca="1" si="25"/>
        <v/>
      </c>
    </row>
    <row r="109" spans="1:25" s="3" customFormat="1" x14ac:dyDescent="0.4">
      <c r="A109" s="34" t="str">
        <f t="shared" si="19"/>
        <v/>
      </c>
      <c r="B109" s="15"/>
      <c r="C109" s="16"/>
      <c r="D109" s="5"/>
      <c r="E109" s="5"/>
      <c r="F109" s="5"/>
      <c r="G109" s="5"/>
      <c r="H109" s="5"/>
      <c r="I109" s="17"/>
      <c r="J109" s="16"/>
      <c r="K109" s="5"/>
      <c r="L109" s="5"/>
      <c r="M109" s="5"/>
      <c r="N109" s="5"/>
      <c r="O109" s="5"/>
      <c r="P109" s="17"/>
      <c r="Q109" s="50"/>
      <c r="R109" s="6"/>
      <c r="S109" s="58"/>
      <c r="T109" s="63" t="str">
        <f t="shared" ca="1" si="20"/>
        <v/>
      </c>
      <c r="U109" s="3" t="str">
        <f t="shared" ca="1" si="21"/>
        <v/>
      </c>
      <c r="V109" s="3" t="str">
        <f t="shared" ca="1" si="22"/>
        <v/>
      </c>
      <c r="W109" s="1" t="str">
        <f t="shared" ca="1" si="23"/>
        <v/>
      </c>
      <c r="X109" s="1" t="str">
        <f t="shared" ca="1" si="24"/>
        <v/>
      </c>
      <c r="Y109" s="3" t="str">
        <f t="shared" ca="1" si="25"/>
        <v/>
      </c>
    </row>
    <row r="110" spans="1:25" s="3" customFormat="1" x14ac:dyDescent="0.4">
      <c r="A110" s="34" t="str">
        <f t="shared" si="19"/>
        <v/>
      </c>
      <c r="B110" s="15"/>
      <c r="C110" s="16"/>
      <c r="D110" s="5"/>
      <c r="E110" s="5"/>
      <c r="F110" s="5"/>
      <c r="G110" s="5"/>
      <c r="H110" s="5"/>
      <c r="I110" s="17"/>
      <c r="J110" s="16"/>
      <c r="K110" s="5"/>
      <c r="L110" s="5"/>
      <c r="M110" s="5"/>
      <c r="N110" s="5"/>
      <c r="O110" s="5"/>
      <c r="P110" s="17"/>
      <c r="Q110" s="50"/>
      <c r="R110" s="6"/>
      <c r="S110" s="58"/>
      <c r="T110" s="63" t="str">
        <f t="shared" ca="1" si="20"/>
        <v/>
      </c>
      <c r="U110" s="3" t="str">
        <f t="shared" ca="1" si="21"/>
        <v/>
      </c>
      <c r="V110" s="3" t="str">
        <f t="shared" ca="1" si="22"/>
        <v/>
      </c>
      <c r="W110" s="1" t="str">
        <f t="shared" ca="1" si="23"/>
        <v/>
      </c>
      <c r="X110" s="1" t="str">
        <f t="shared" ca="1" si="24"/>
        <v/>
      </c>
      <c r="Y110" s="3" t="str">
        <f t="shared" ca="1" si="25"/>
        <v/>
      </c>
    </row>
    <row r="111" spans="1:25" s="3" customFormat="1" x14ac:dyDescent="0.4">
      <c r="A111" s="34" t="str">
        <f t="shared" si="19"/>
        <v/>
      </c>
      <c r="B111" s="15"/>
      <c r="C111" s="16"/>
      <c r="D111" s="5"/>
      <c r="E111" s="5"/>
      <c r="F111" s="5"/>
      <c r="G111" s="5"/>
      <c r="H111" s="5"/>
      <c r="I111" s="17"/>
      <c r="J111" s="16"/>
      <c r="K111" s="5"/>
      <c r="L111" s="5"/>
      <c r="M111" s="5"/>
      <c r="N111" s="5"/>
      <c r="O111" s="5"/>
      <c r="P111" s="17"/>
      <c r="Q111" s="50"/>
      <c r="R111" s="6"/>
      <c r="S111" s="58"/>
      <c r="T111" s="63" t="str">
        <f t="shared" ca="1" si="20"/>
        <v/>
      </c>
      <c r="U111" s="3" t="str">
        <f t="shared" ca="1" si="21"/>
        <v/>
      </c>
      <c r="V111" s="3" t="str">
        <f t="shared" ca="1" si="22"/>
        <v/>
      </c>
      <c r="W111" s="1" t="str">
        <f t="shared" ca="1" si="23"/>
        <v/>
      </c>
      <c r="X111" s="1" t="str">
        <f t="shared" ca="1" si="24"/>
        <v/>
      </c>
      <c r="Y111" s="3" t="str">
        <f t="shared" ca="1" si="25"/>
        <v/>
      </c>
    </row>
    <row r="112" spans="1:25" s="3" customFormat="1" x14ac:dyDescent="0.4">
      <c r="A112" s="34" t="str">
        <f t="shared" si="19"/>
        <v/>
      </c>
      <c r="B112" s="15"/>
      <c r="C112" s="16"/>
      <c r="D112" s="5"/>
      <c r="E112" s="5"/>
      <c r="F112" s="5"/>
      <c r="G112" s="5"/>
      <c r="H112" s="5"/>
      <c r="I112" s="17"/>
      <c r="J112" s="16"/>
      <c r="K112" s="5"/>
      <c r="L112" s="5"/>
      <c r="M112" s="5"/>
      <c r="N112" s="5"/>
      <c r="O112" s="5"/>
      <c r="P112" s="17"/>
      <c r="Q112" s="50"/>
      <c r="R112" s="6"/>
      <c r="S112" s="58"/>
      <c r="T112" s="63" t="str">
        <f t="shared" ca="1" si="20"/>
        <v/>
      </c>
      <c r="U112" s="3" t="str">
        <f t="shared" ca="1" si="21"/>
        <v/>
      </c>
      <c r="V112" s="3" t="str">
        <f t="shared" ca="1" si="22"/>
        <v/>
      </c>
      <c r="W112" s="1" t="str">
        <f t="shared" ca="1" si="23"/>
        <v/>
      </c>
      <c r="X112" s="1" t="str">
        <f t="shared" ca="1" si="24"/>
        <v/>
      </c>
      <c r="Y112" s="3" t="str">
        <f t="shared" ca="1" si="25"/>
        <v/>
      </c>
    </row>
    <row r="113" spans="1:25" s="3" customFormat="1" x14ac:dyDescent="0.4">
      <c r="A113" s="34" t="str">
        <f t="shared" si="19"/>
        <v/>
      </c>
      <c r="B113" s="15"/>
      <c r="C113" s="16"/>
      <c r="D113" s="5"/>
      <c r="E113" s="5"/>
      <c r="F113" s="5"/>
      <c r="G113" s="5"/>
      <c r="H113" s="5"/>
      <c r="I113" s="17"/>
      <c r="J113" s="16"/>
      <c r="K113" s="5"/>
      <c r="L113" s="5"/>
      <c r="M113" s="5"/>
      <c r="N113" s="5"/>
      <c r="O113" s="5"/>
      <c r="P113" s="17"/>
      <c r="Q113" s="50"/>
      <c r="R113" s="6"/>
      <c r="S113" s="58"/>
      <c r="T113" s="63" t="str">
        <f t="shared" ca="1" si="20"/>
        <v/>
      </c>
      <c r="U113" s="3" t="str">
        <f t="shared" ca="1" si="21"/>
        <v/>
      </c>
      <c r="V113" s="3" t="str">
        <f t="shared" ca="1" si="22"/>
        <v/>
      </c>
      <c r="W113" s="1" t="str">
        <f t="shared" ca="1" si="23"/>
        <v/>
      </c>
      <c r="X113" s="1" t="str">
        <f t="shared" ca="1" si="24"/>
        <v/>
      </c>
      <c r="Y113" s="3" t="str">
        <f t="shared" ca="1" si="25"/>
        <v/>
      </c>
    </row>
    <row r="114" spans="1:25" s="3" customFormat="1" x14ac:dyDescent="0.4">
      <c r="A114" s="34" t="str">
        <f t="shared" si="19"/>
        <v/>
      </c>
      <c r="B114" s="15"/>
      <c r="C114" s="16"/>
      <c r="D114" s="5"/>
      <c r="E114" s="5"/>
      <c r="F114" s="5"/>
      <c r="G114" s="5"/>
      <c r="H114" s="5"/>
      <c r="I114" s="17"/>
      <c r="J114" s="16"/>
      <c r="K114" s="5"/>
      <c r="L114" s="5"/>
      <c r="M114" s="5"/>
      <c r="N114" s="5"/>
      <c r="O114" s="5"/>
      <c r="P114" s="17"/>
      <c r="Q114" s="50"/>
      <c r="R114" s="6"/>
      <c r="S114" s="58"/>
      <c r="T114" s="63" t="str">
        <f t="shared" ca="1" si="20"/>
        <v/>
      </c>
      <c r="U114" s="3" t="str">
        <f t="shared" ca="1" si="21"/>
        <v/>
      </c>
      <c r="V114" s="3" t="str">
        <f t="shared" ca="1" si="22"/>
        <v/>
      </c>
      <c r="W114" s="1" t="str">
        <f t="shared" ca="1" si="23"/>
        <v/>
      </c>
      <c r="X114" s="1" t="str">
        <f t="shared" ca="1" si="24"/>
        <v/>
      </c>
      <c r="Y114" s="3" t="str">
        <f t="shared" ca="1" si="25"/>
        <v/>
      </c>
    </row>
    <row r="115" spans="1:25" s="3" customFormat="1" x14ac:dyDescent="0.4">
      <c r="A115" s="34" t="str">
        <f t="shared" si="19"/>
        <v/>
      </c>
      <c r="B115" s="15"/>
      <c r="C115" s="16"/>
      <c r="D115" s="5"/>
      <c r="E115" s="5"/>
      <c r="F115" s="5"/>
      <c r="G115" s="5"/>
      <c r="H115" s="5"/>
      <c r="I115" s="17"/>
      <c r="J115" s="16"/>
      <c r="K115" s="5"/>
      <c r="L115" s="5"/>
      <c r="M115" s="5"/>
      <c r="N115" s="5"/>
      <c r="O115" s="5"/>
      <c r="P115" s="17"/>
      <c r="Q115" s="50"/>
      <c r="R115" s="6"/>
      <c r="S115" s="58"/>
      <c r="T115" s="63" t="str">
        <f t="shared" ca="1" si="20"/>
        <v/>
      </c>
      <c r="U115" s="3" t="str">
        <f t="shared" ca="1" si="21"/>
        <v/>
      </c>
      <c r="V115" s="3" t="str">
        <f t="shared" ca="1" si="22"/>
        <v/>
      </c>
      <c r="W115" s="1" t="str">
        <f t="shared" ca="1" si="23"/>
        <v/>
      </c>
      <c r="X115" s="1" t="str">
        <f t="shared" ca="1" si="24"/>
        <v/>
      </c>
      <c r="Y115" s="3" t="str">
        <f t="shared" ca="1" si="25"/>
        <v/>
      </c>
    </row>
    <row r="116" spans="1:25" s="3" customFormat="1" x14ac:dyDescent="0.4">
      <c r="A116" s="34" t="str">
        <f t="shared" si="19"/>
        <v/>
      </c>
      <c r="B116" s="15"/>
      <c r="C116" s="16"/>
      <c r="D116" s="5"/>
      <c r="E116" s="5"/>
      <c r="F116" s="5"/>
      <c r="G116" s="5"/>
      <c r="H116" s="5"/>
      <c r="I116" s="17"/>
      <c r="J116" s="16"/>
      <c r="K116" s="5"/>
      <c r="L116" s="5"/>
      <c r="M116" s="5"/>
      <c r="N116" s="5"/>
      <c r="O116" s="5"/>
      <c r="P116" s="17"/>
      <c r="Q116" s="50"/>
      <c r="R116" s="6"/>
      <c r="S116" s="58"/>
      <c r="T116" s="63" t="str">
        <f t="shared" ca="1" si="20"/>
        <v/>
      </c>
      <c r="U116" s="3" t="str">
        <f t="shared" ca="1" si="21"/>
        <v/>
      </c>
      <c r="V116" s="3" t="str">
        <f t="shared" ca="1" si="22"/>
        <v/>
      </c>
      <c r="W116" s="1" t="str">
        <f t="shared" ca="1" si="23"/>
        <v/>
      </c>
      <c r="X116" s="1" t="str">
        <f t="shared" ca="1" si="24"/>
        <v/>
      </c>
      <c r="Y116" s="3" t="str">
        <f t="shared" ca="1" si="25"/>
        <v/>
      </c>
    </row>
    <row r="117" spans="1:25" s="3" customFormat="1" x14ac:dyDescent="0.4">
      <c r="A117" s="34" t="str">
        <f t="shared" si="19"/>
        <v/>
      </c>
      <c r="B117" s="15"/>
      <c r="C117" s="16"/>
      <c r="D117" s="5"/>
      <c r="E117" s="5"/>
      <c r="F117" s="5"/>
      <c r="G117" s="5"/>
      <c r="H117" s="5"/>
      <c r="I117" s="17"/>
      <c r="J117" s="16"/>
      <c r="K117" s="5"/>
      <c r="L117" s="5"/>
      <c r="M117" s="5"/>
      <c r="N117" s="5"/>
      <c r="O117" s="5"/>
      <c r="P117" s="17"/>
      <c r="Q117" s="50"/>
      <c r="R117" s="6"/>
      <c r="S117" s="58"/>
      <c r="T117" s="63" t="str">
        <f t="shared" ca="1" si="20"/>
        <v/>
      </c>
      <c r="U117" s="3" t="str">
        <f t="shared" ca="1" si="21"/>
        <v/>
      </c>
      <c r="V117" s="3" t="str">
        <f t="shared" ca="1" si="22"/>
        <v/>
      </c>
      <c r="W117" s="1" t="str">
        <f t="shared" ca="1" si="23"/>
        <v/>
      </c>
      <c r="X117" s="1" t="str">
        <f t="shared" ca="1" si="24"/>
        <v/>
      </c>
      <c r="Y117" s="3" t="str">
        <f t="shared" ca="1" si="25"/>
        <v/>
      </c>
    </row>
    <row r="118" spans="1:25" s="3" customFormat="1" x14ac:dyDescent="0.4">
      <c r="A118" s="34" t="str">
        <f t="shared" si="19"/>
        <v/>
      </c>
      <c r="B118" s="15"/>
      <c r="C118" s="16"/>
      <c r="D118" s="5"/>
      <c r="E118" s="5"/>
      <c r="F118" s="5"/>
      <c r="G118" s="5"/>
      <c r="H118" s="5"/>
      <c r="I118" s="17"/>
      <c r="J118" s="16"/>
      <c r="K118" s="5"/>
      <c r="L118" s="5"/>
      <c r="M118" s="5"/>
      <c r="N118" s="5"/>
      <c r="O118" s="5"/>
      <c r="P118" s="17"/>
      <c r="Q118" s="50"/>
      <c r="R118" s="6"/>
      <c r="S118" s="58"/>
      <c r="T118" s="63" t="str">
        <f t="shared" ca="1" si="20"/>
        <v/>
      </c>
      <c r="U118" s="3" t="str">
        <f t="shared" ca="1" si="21"/>
        <v/>
      </c>
      <c r="V118" s="3" t="str">
        <f t="shared" ca="1" si="22"/>
        <v/>
      </c>
      <c r="W118" s="1" t="str">
        <f t="shared" ca="1" si="23"/>
        <v/>
      </c>
      <c r="X118" s="1" t="str">
        <f t="shared" ca="1" si="24"/>
        <v/>
      </c>
      <c r="Y118" s="3" t="str">
        <f t="shared" ca="1" si="25"/>
        <v/>
      </c>
    </row>
    <row r="119" spans="1:25" s="3" customFormat="1" x14ac:dyDescent="0.4">
      <c r="A119" s="34" t="str">
        <f t="shared" si="19"/>
        <v/>
      </c>
      <c r="B119" s="15"/>
      <c r="C119" s="16"/>
      <c r="D119" s="5"/>
      <c r="E119" s="5"/>
      <c r="F119" s="5"/>
      <c r="G119" s="5"/>
      <c r="H119" s="5"/>
      <c r="I119" s="17"/>
      <c r="J119" s="16"/>
      <c r="K119" s="5"/>
      <c r="L119" s="5"/>
      <c r="M119" s="5"/>
      <c r="N119" s="5"/>
      <c r="O119" s="5"/>
      <c r="P119" s="17"/>
      <c r="Q119" s="50"/>
      <c r="R119" s="6"/>
      <c r="S119" s="58"/>
      <c r="T119" s="63" t="str">
        <f t="shared" ca="1" si="20"/>
        <v/>
      </c>
      <c r="U119" s="3" t="str">
        <f t="shared" ca="1" si="21"/>
        <v/>
      </c>
      <c r="V119" s="3" t="str">
        <f t="shared" ca="1" si="22"/>
        <v/>
      </c>
      <c r="W119" s="1" t="str">
        <f t="shared" ca="1" si="23"/>
        <v/>
      </c>
      <c r="X119" s="1" t="str">
        <f t="shared" ca="1" si="24"/>
        <v/>
      </c>
      <c r="Y119" s="3" t="str">
        <f t="shared" ca="1" si="25"/>
        <v/>
      </c>
    </row>
    <row r="120" spans="1:25" s="3" customFormat="1" x14ac:dyDescent="0.4">
      <c r="A120" s="34" t="str">
        <f t="shared" si="19"/>
        <v/>
      </c>
      <c r="B120" s="15"/>
      <c r="C120" s="16"/>
      <c r="D120" s="5"/>
      <c r="E120" s="5"/>
      <c r="F120" s="5"/>
      <c r="G120" s="5"/>
      <c r="H120" s="5"/>
      <c r="I120" s="17"/>
      <c r="J120" s="16"/>
      <c r="K120" s="5"/>
      <c r="L120" s="5"/>
      <c r="M120" s="5"/>
      <c r="N120" s="5"/>
      <c r="O120" s="5"/>
      <c r="P120" s="17"/>
      <c r="Q120" s="50"/>
      <c r="R120" s="6"/>
      <c r="S120" s="58"/>
      <c r="T120" s="63" t="str">
        <f t="shared" ca="1" si="20"/>
        <v/>
      </c>
      <c r="U120" s="3" t="str">
        <f t="shared" ca="1" si="21"/>
        <v/>
      </c>
      <c r="V120" s="3" t="str">
        <f t="shared" ca="1" si="22"/>
        <v/>
      </c>
      <c r="W120" s="1" t="str">
        <f t="shared" ca="1" si="23"/>
        <v/>
      </c>
      <c r="X120" s="1" t="str">
        <f t="shared" ca="1" si="24"/>
        <v/>
      </c>
      <c r="Y120" s="3" t="str">
        <f t="shared" ca="1" si="25"/>
        <v/>
      </c>
    </row>
    <row r="121" spans="1:25" s="3" customFormat="1" x14ac:dyDescent="0.4">
      <c r="A121" s="34" t="str">
        <f t="shared" si="19"/>
        <v/>
      </c>
      <c r="B121" s="15"/>
      <c r="C121" s="16"/>
      <c r="D121" s="5"/>
      <c r="E121" s="5"/>
      <c r="F121" s="5"/>
      <c r="G121" s="5"/>
      <c r="H121" s="5"/>
      <c r="I121" s="17"/>
      <c r="J121" s="16"/>
      <c r="K121" s="5"/>
      <c r="L121" s="5"/>
      <c r="M121" s="5"/>
      <c r="N121" s="5"/>
      <c r="O121" s="5"/>
      <c r="P121" s="17"/>
      <c r="Q121" s="50"/>
      <c r="R121" s="6"/>
      <c r="S121" s="58"/>
      <c r="T121" s="63" t="str">
        <f t="shared" ca="1" si="20"/>
        <v/>
      </c>
      <c r="U121" s="3" t="str">
        <f t="shared" ca="1" si="21"/>
        <v/>
      </c>
      <c r="V121" s="3" t="str">
        <f t="shared" ca="1" si="22"/>
        <v/>
      </c>
      <c r="W121" s="1" t="str">
        <f t="shared" ca="1" si="23"/>
        <v/>
      </c>
      <c r="X121" s="1" t="str">
        <f t="shared" ca="1" si="24"/>
        <v/>
      </c>
      <c r="Y121" s="3" t="str">
        <f t="shared" ca="1" si="25"/>
        <v/>
      </c>
    </row>
    <row r="122" spans="1:25" s="3" customFormat="1" x14ac:dyDescent="0.4">
      <c r="A122" s="34" t="str">
        <f t="shared" si="19"/>
        <v/>
      </c>
      <c r="B122" s="15"/>
      <c r="C122" s="16"/>
      <c r="D122" s="5"/>
      <c r="E122" s="5"/>
      <c r="F122" s="5"/>
      <c r="G122" s="5"/>
      <c r="H122" s="5"/>
      <c r="I122" s="17"/>
      <c r="J122" s="16"/>
      <c r="K122" s="5"/>
      <c r="L122" s="5"/>
      <c r="M122" s="5"/>
      <c r="N122" s="5"/>
      <c r="O122" s="5"/>
      <c r="P122" s="17"/>
      <c r="Q122" s="50"/>
      <c r="R122" s="6"/>
      <c r="S122" s="58"/>
      <c r="T122" s="63" t="str">
        <f t="shared" ca="1" si="20"/>
        <v/>
      </c>
      <c r="U122" s="3" t="str">
        <f t="shared" ca="1" si="21"/>
        <v/>
      </c>
      <c r="V122" s="3" t="str">
        <f t="shared" ca="1" si="22"/>
        <v/>
      </c>
      <c r="W122" s="1" t="str">
        <f t="shared" ca="1" si="23"/>
        <v/>
      </c>
      <c r="X122" s="1" t="str">
        <f t="shared" ca="1" si="24"/>
        <v/>
      </c>
      <c r="Y122" s="3" t="str">
        <f t="shared" ca="1" si="25"/>
        <v/>
      </c>
    </row>
    <row r="123" spans="1:25" s="3" customFormat="1" x14ac:dyDescent="0.4">
      <c r="A123" s="34" t="str">
        <f t="shared" si="19"/>
        <v/>
      </c>
      <c r="B123" s="15"/>
      <c r="C123" s="16"/>
      <c r="D123" s="5"/>
      <c r="E123" s="5"/>
      <c r="F123" s="5"/>
      <c r="G123" s="5"/>
      <c r="H123" s="5"/>
      <c r="I123" s="17"/>
      <c r="J123" s="16"/>
      <c r="K123" s="5"/>
      <c r="L123" s="5"/>
      <c r="M123" s="5"/>
      <c r="N123" s="5"/>
      <c r="O123" s="5"/>
      <c r="P123" s="17"/>
      <c r="Q123" s="50"/>
      <c r="R123" s="6"/>
      <c r="S123" s="58"/>
      <c r="T123" s="63" t="str">
        <f t="shared" ca="1" si="20"/>
        <v/>
      </c>
      <c r="U123" s="3" t="str">
        <f t="shared" ca="1" si="21"/>
        <v/>
      </c>
      <c r="V123" s="3" t="str">
        <f t="shared" ca="1" si="22"/>
        <v/>
      </c>
      <c r="W123" s="1" t="str">
        <f t="shared" ca="1" si="23"/>
        <v/>
      </c>
      <c r="X123" s="1" t="str">
        <f t="shared" ca="1" si="24"/>
        <v/>
      </c>
      <c r="Y123" s="3" t="str">
        <f t="shared" ca="1" si="25"/>
        <v/>
      </c>
    </row>
    <row r="124" spans="1:25" s="3" customFormat="1" x14ac:dyDescent="0.4">
      <c r="A124" s="34" t="str">
        <f t="shared" si="19"/>
        <v/>
      </c>
      <c r="B124" s="15"/>
      <c r="C124" s="16"/>
      <c r="D124" s="5"/>
      <c r="E124" s="5"/>
      <c r="F124" s="5"/>
      <c r="G124" s="5"/>
      <c r="H124" s="5"/>
      <c r="I124" s="17"/>
      <c r="J124" s="16"/>
      <c r="K124" s="5"/>
      <c r="L124" s="5"/>
      <c r="M124" s="5"/>
      <c r="N124" s="5"/>
      <c r="O124" s="5"/>
      <c r="P124" s="17"/>
      <c r="Q124" s="50"/>
      <c r="R124" s="6"/>
      <c r="S124" s="58"/>
      <c r="T124" s="63" t="str">
        <f t="shared" ca="1" si="20"/>
        <v/>
      </c>
      <c r="U124" s="3" t="str">
        <f t="shared" ca="1" si="21"/>
        <v/>
      </c>
      <c r="V124" s="3" t="str">
        <f t="shared" ca="1" si="22"/>
        <v/>
      </c>
      <c r="W124" s="1" t="str">
        <f t="shared" ca="1" si="23"/>
        <v/>
      </c>
      <c r="X124" s="1" t="str">
        <f t="shared" ca="1" si="24"/>
        <v/>
      </c>
      <c r="Y124" s="3" t="str">
        <f t="shared" ca="1" si="25"/>
        <v/>
      </c>
    </row>
    <row r="125" spans="1:25" s="3" customFormat="1" x14ac:dyDescent="0.4">
      <c r="A125" s="34" t="str">
        <f t="shared" si="19"/>
        <v/>
      </c>
      <c r="B125" s="15"/>
      <c r="C125" s="16"/>
      <c r="D125" s="5"/>
      <c r="E125" s="5"/>
      <c r="F125" s="5"/>
      <c r="G125" s="5"/>
      <c r="H125" s="5"/>
      <c r="I125" s="17"/>
      <c r="J125" s="16"/>
      <c r="K125" s="5"/>
      <c r="L125" s="5"/>
      <c r="M125" s="5"/>
      <c r="N125" s="5"/>
      <c r="O125" s="5"/>
      <c r="P125" s="17"/>
      <c r="Q125" s="50"/>
      <c r="R125" s="6"/>
      <c r="S125" s="58"/>
      <c r="T125" s="63" t="str">
        <f t="shared" ca="1" si="20"/>
        <v/>
      </c>
      <c r="U125" s="3" t="str">
        <f t="shared" ca="1" si="21"/>
        <v/>
      </c>
      <c r="V125" s="3" t="str">
        <f t="shared" ca="1" si="22"/>
        <v/>
      </c>
      <c r="W125" s="1" t="str">
        <f t="shared" ca="1" si="23"/>
        <v/>
      </c>
      <c r="X125" s="1" t="str">
        <f t="shared" ca="1" si="24"/>
        <v/>
      </c>
      <c r="Y125" s="3" t="str">
        <f t="shared" ca="1" si="25"/>
        <v/>
      </c>
    </row>
    <row r="126" spans="1:25" s="3" customFormat="1" x14ac:dyDescent="0.4">
      <c r="A126" s="34" t="str">
        <f t="shared" si="19"/>
        <v/>
      </c>
      <c r="B126" s="15"/>
      <c r="C126" s="16"/>
      <c r="D126" s="5"/>
      <c r="E126" s="5"/>
      <c r="F126" s="5"/>
      <c r="G126" s="5"/>
      <c r="H126" s="5"/>
      <c r="I126" s="17"/>
      <c r="J126" s="16"/>
      <c r="K126" s="5"/>
      <c r="L126" s="5"/>
      <c r="M126" s="5"/>
      <c r="N126" s="5"/>
      <c r="O126" s="5"/>
      <c r="P126" s="17"/>
      <c r="Q126" s="50"/>
      <c r="R126" s="6"/>
      <c r="S126" s="58"/>
      <c r="T126" s="63" t="str">
        <f t="shared" ca="1" si="20"/>
        <v/>
      </c>
      <c r="U126" s="3" t="str">
        <f t="shared" ca="1" si="21"/>
        <v/>
      </c>
      <c r="V126" s="3" t="str">
        <f t="shared" ca="1" si="22"/>
        <v/>
      </c>
      <c r="W126" s="1" t="str">
        <f t="shared" ca="1" si="23"/>
        <v/>
      </c>
      <c r="X126" s="1" t="str">
        <f t="shared" ca="1" si="24"/>
        <v/>
      </c>
      <c r="Y126" s="3" t="str">
        <f t="shared" ca="1" si="25"/>
        <v/>
      </c>
    </row>
    <row r="127" spans="1:25" s="3" customFormat="1" x14ac:dyDescent="0.4">
      <c r="A127" s="34" t="str">
        <f t="shared" si="19"/>
        <v/>
      </c>
      <c r="B127" s="15"/>
      <c r="C127" s="16"/>
      <c r="D127" s="5"/>
      <c r="E127" s="5"/>
      <c r="F127" s="5"/>
      <c r="G127" s="5"/>
      <c r="H127" s="5"/>
      <c r="I127" s="17"/>
      <c r="J127" s="16"/>
      <c r="K127" s="5"/>
      <c r="L127" s="5"/>
      <c r="M127" s="5"/>
      <c r="N127" s="5"/>
      <c r="O127" s="5"/>
      <c r="P127" s="17"/>
      <c r="Q127" s="50"/>
      <c r="R127" s="6"/>
      <c r="S127" s="58"/>
      <c r="T127" s="63" t="str">
        <f t="shared" ca="1" si="20"/>
        <v/>
      </c>
      <c r="U127" s="3" t="str">
        <f t="shared" ca="1" si="21"/>
        <v/>
      </c>
      <c r="V127" s="3" t="str">
        <f t="shared" ca="1" si="22"/>
        <v/>
      </c>
      <c r="W127" s="1" t="str">
        <f t="shared" ca="1" si="23"/>
        <v/>
      </c>
      <c r="X127" s="1" t="str">
        <f t="shared" ca="1" si="24"/>
        <v/>
      </c>
      <c r="Y127" s="3" t="str">
        <f t="shared" ca="1" si="25"/>
        <v/>
      </c>
    </row>
    <row r="128" spans="1:25" s="3" customFormat="1" x14ac:dyDescent="0.4">
      <c r="A128" s="34" t="str">
        <f t="shared" si="19"/>
        <v/>
      </c>
      <c r="B128" s="15"/>
      <c r="C128" s="16"/>
      <c r="D128" s="5"/>
      <c r="E128" s="5"/>
      <c r="F128" s="5"/>
      <c r="G128" s="5"/>
      <c r="H128" s="5"/>
      <c r="I128" s="17"/>
      <c r="J128" s="16"/>
      <c r="K128" s="5"/>
      <c r="L128" s="5"/>
      <c r="M128" s="5"/>
      <c r="N128" s="5"/>
      <c r="O128" s="5"/>
      <c r="P128" s="17"/>
      <c r="Q128" s="50"/>
      <c r="R128" s="6"/>
      <c r="S128" s="58"/>
      <c r="T128" s="63" t="str">
        <f t="shared" ca="1" si="20"/>
        <v/>
      </c>
      <c r="U128" s="3" t="str">
        <f t="shared" ca="1" si="21"/>
        <v/>
      </c>
      <c r="V128" s="3" t="str">
        <f t="shared" ca="1" si="22"/>
        <v/>
      </c>
      <c r="W128" s="1" t="str">
        <f t="shared" ca="1" si="23"/>
        <v/>
      </c>
      <c r="X128" s="1" t="str">
        <f t="shared" ca="1" si="24"/>
        <v/>
      </c>
      <c r="Y128" s="3" t="str">
        <f t="shared" ca="1" si="25"/>
        <v/>
      </c>
    </row>
    <row r="129" spans="1:25" s="3" customFormat="1" x14ac:dyDescent="0.4">
      <c r="A129" s="34" t="str">
        <f t="shared" si="19"/>
        <v/>
      </c>
      <c r="B129" s="15"/>
      <c r="C129" s="16"/>
      <c r="D129" s="5"/>
      <c r="E129" s="5"/>
      <c r="F129" s="5"/>
      <c r="G129" s="5"/>
      <c r="H129" s="5"/>
      <c r="I129" s="17"/>
      <c r="J129" s="16"/>
      <c r="K129" s="5"/>
      <c r="L129" s="5"/>
      <c r="M129" s="5"/>
      <c r="N129" s="5"/>
      <c r="O129" s="5"/>
      <c r="P129" s="17"/>
      <c r="Q129" s="50"/>
      <c r="R129" s="6"/>
      <c r="S129" s="58"/>
      <c r="T129" s="63" t="str">
        <f t="shared" ca="1" si="20"/>
        <v/>
      </c>
      <c r="U129" s="3" t="str">
        <f t="shared" ca="1" si="21"/>
        <v/>
      </c>
      <c r="V129" s="3" t="str">
        <f t="shared" ca="1" si="22"/>
        <v/>
      </c>
      <c r="W129" s="1" t="str">
        <f t="shared" ca="1" si="23"/>
        <v/>
      </c>
      <c r="X129" s="1" t="str">
        <f t="shared" ca="1" si="24"/>
        <v/>
      </c>
      <c r="Y129" s="3" t="str">
        <f t="shared" ca="1" si="25"/>
        <v/>
      </c>
    </row>
    <row r="130" spans="1:25" s="3" customFormat="1" x14ac:dyDescent="0.4">
      <c r="A130" s="34" t="str">
        <f t="shared" si="19"/>
        <v/>
      </c>
      <c r="B130" s="15"/>
      <c r="C130" s="16"/>
      <c r="D130" s="5"/>
      <c r="E130" s="5"/>
      <c r="F130" s="5"/>
      <c r="G130" s="5"/>
      <c r="H130" s="5"/>
      <c r="I130" s="17"/>
      <c r="J130" s="16"/>
      <c r="K130" s="5"/>
      <c r="L130" s="5"/>
      <c r="M130" s="5"/>
      <c r="N130" s="5"/>
      <c r="O130" s="5"/>
      <c r="P130" s="17"/>
      <c r="Q130" s="50"/>
      <c r="R130" s="6"/>
      <c r="S130" s="58"/>
      <c r="T130" s="63" t="str">
        <f t="shared" ca="1" si="20"/>
        <v/>
      </c>
      <c r="U130" s="3" t="str">
        <f t="shared" ca="1" si="21"/>
        <v/>
      </c>
      <c r="V130" s="3" t="str">
        <f t="shared" ca="1" si="22"/>
        <v/>
      </c>
      <c r="W130" s="1" t="str">
        <f t="shared" ca="1" si="23"/>
        <v/>
      </c>
      <c r="X130" s="1" t="str">
        <f t="shared" ca="1" si="24"/>
        <v/>
      </c>
      <c r="Y130" s="3" t="str">
        <f t="shared" ca="1" si="25"/>
        <v/>
      </c>
    </row>
    <row r="131" spans="1:25" s="3" customFormat="1" x14ac:dyDescent="0.4">
      <c r="A131" s="34" t="str">
        <f t="shared" si="19"/>
        <v/>
      </c>
      <c r="B131" s="15"/>
      <c r="C131" s="16"/>
      <c r="D131" s="5"/>
      <c r="E131" s="5"/>
      <c r="F131" s="5"/>
      <c r="G131" s="5"/>
      <c r="H131" s="5"/>
      <c r="I131" s="17"/>
      <c r="J131" s="16"/>
      <c r="K131" s="5"/>
      <c r="L131" s="5"/>
      <c r="M131" s="5"/>
      <c r="N131" s="5"/>
      <c r="O131" s="5"/>
      <c r="P131" s="17"/>
      <c r="Q131" s="50"/>
      <c r="R131" s="6"/>
      <c r="S131" s="58"/>
      <c r="T131" s="63" t="str">
        <f t="shared" ca="1" si="20"/>
        <v/>
      </c>
      <c r="U131" s="3" t="str">
        <f t="shared" ca="1" si="21"/>
        <v/>
      </c>
      <c r="V131" s="3" t="str">
        <f t="shared" ca="1" si="22"/>
        <v/>
      </c>
      <c r="W131" s="1" t="str">
        <f t="shared" ca="1" si="23"/>
        <v/>
      </c>
      <c r="X131" s="1" t="str">
        <f t="shared" ca="1" si="24"/>
        <v/>
      </c>
      <c r="Y131" s="3" t="str">
        <f t="shared" ca="1" si="25"/>
        <v/>
      </c>
    </row>
    <row r="132" spans="1:25" s="3" customFormat="1" x14ac:dyDescent="0.4">
      <c r="A132" s="34" t="str">
        <f t="shared" si="19"/>
        <v/>
      </c>
      <c r="B132" s="15"/>
      <c r="C132" s="16"/>
      <c r="D132" s="5"/>
      <c r="E132" s="5"/>
      <c r="F132" s="5"/>
      <c r="G132" s="5"/>
      <c r="H132" s="5"/>
      <c r="I132" s="17"/>
      <c r="J132" s="16"/>
      <c r="K132" s="5"/>
      <c r="L132" s="5"/>
      <c r="M132" s="5"/>
      <c r="N132" s="5"/>
      <c r="O132" s="5"/>
      <c r="P132" s="17"/>
      <c r="Q132" s="50"/>
      <c r="R132" s="6"/>
      <c r="S132" s="58"/>
      <c r="T132" s="63" t="str">
        <f t="shared" ca="1" si="20"/>
        <v/>
      </c>
      <c r="U132" s="3" t="str">
        <f t="shared" ca="1" si="21"/>
        <v/>
      </c>
      <c r="V132" s="3" t="str">
        <f t="shared" ca="1" si="22"/>
        <v/>
      </c>
      <c r="W132" s="1" t="str">
        <f t="shared" ca="1" si="23"/>
        <v/>
      </c>
      <c r="X132" s="1" t="str">
        <f t="shared" ca="1" si="24"/>
        <v/>
      </c>
      <c r="Y132" s="3" t="str">
        <f t="shared" ca="1" si="25"/>
        <v/>
      </c>
    </row>
    <row r="133" spans="1:25" s="3" customFormat="1" x14ac:dyDescent="0.4">
      <c r="A133" s="34" t="str">
        <f t="shared" si="19"/>
        <v/>
      </c>
      <c r="B133" s="15"/>
      <c r="C133" s="16"/>
      <c r="D133" s="5"/>
      <c r="E133" s="5"/>
      <c r="F133" s="5"/>
      <c r="G133" s="5"/>
      <c r="H133" s="5"/>
      <c r="I133" s="17"/>
      <c r="J133" s="16"/>
      <c r="K133" s="5"/>
      <c r="L133" s="5"/>
      <c r="M133" s="5"/>
      <c r="N133" s="5"/>
      <c r="O133" s="5"/>
      <c r="P133" s="17"/>
      <c r="Q133" s="50"/>
      <c r="R133" s="6"/>
      <c r="S133" s="58"/>
      <c r="T133" s="63" t="str">
        <f t="shared" ref="T133:T164" ca="1" si="26">IF(ISNA(VLOOKUP(E133,地址類別Mapping,2,FALSE)),"",VLOOKUP(E133,地址類別Mapping,2,FALSE))</f>
        <v/>
      </c>
      <c r="U133" s="3" t="str">
        <f t="shared" ref="U133:U164" ca="1" si="27">IF(ISNA(VLOOKUP(F133&amp;"-"&amp;G133,郵遞區號,2,FALSE)),"",VLOOKUP(F133&amp;"-"&amp;G133,郵遞區號,2,FALSE))</f>
        <v/>
      </c>
      <c r="V133" s="3" t="str">
        <f t="shared" ref="V133:V164" ca="1" si="28">IF(ISNA(VLOOKUP(M133&amp;"-"&amp;N133,郵遞區號,2,FALSE)),"",VLOOKUP(M133&amp;"-"&amp;N133,郵遞區號,2,FALSE))</f>
        <v/>
      </c>
      <c r="W133" s="1" t="str">
        <f t="shared" ref="W133:W164" ca="1" si="29">IF(ISNA(VLOOKUP(B133,郵件種類MAPPING,2,FALSE)),"",VLOOKUP(B133,郵件種類MAPPING,2,FALSE))</f>
        <v/>
      </c>
      <c r="X133" s="1" t="str">
        <f t="shared" ref="X133:X164" ca="1" si="30">IF(ISNA(VLOOKUP(R133,箱袋種類Mapping,2,FALSE)),"",VLOOKUP(R133,箱袋種類Mapping,2,FALSE))</f>
        <v/>
      </c>
      <c r="Y133" s="3" t="str">
        <f t="shared" ref="Y133:Y164" ca="1" si="31">IF(ISNA(VLOOKUP(B133,郵件種類MAPPING,2,FALSE)),"","203")</f>
        <v/>
      </c>
    </row>
    <row r="134" spans="1:25" s="3" customFormat="1" x14ac:dyDescent="0.4">
      <c r="A134" s="34" t="str">
        <f t="shared" ref="A134:A197" si="32">IF(NOT(COUNTA(B134:I134)),"",ROW()-4)</f>
        <v/>
      </c>
      <c r="B134" s="15"/>
      <c r="C134" s="16"/>
      <c r="D134" s="5"/>
      <c r="E134" s="5"/>
      <c r="F134" s="5"/>
      <c r="G134" s="5"/>
      <c r="H134" s="5"/>
      <c r="I134" s="17"/>
      <c r="J134" s="16"/>
      <c r="K134" s="5"/>
      <c r="L134" s="5"/>
      <c r="M134" s="5"/>
      <c r="N134" s="5"/>
      <c r="O134" s="5"/>
      <c r="P134" s="17"/>
      <c r="Q134" s="50"/>
      <c r="R134" s="6"/>
      <c r="S134" s="58"/>
      <c r="T134" s="63" t="str">
        <f t="shared" ca="1" si="26"/>
        <v/>
      </c>
      <c r="U134" s="3" t="str">
        <f t="shared" ca="1" si="27"/>
        <v/>
      </c>
      <c r="V134" s="3" t="str">
        <f t="shared" ca="1" si="28"/>
        <v/>
      </c>
      <c r="W134" s="1" t="str">
        <f t="shared" ca="1" si="29"/>
        <v/>
      </c>
      <c r="X134" s="1" t="str">
        <f t="shared" ca="1" si="30"/>
        <v/>
      </c>
      <c r="Y134" s="3" t="str">
        <f t="shared" ca="1" si="31"/>
        <v/>
      </c>
    </row>
    <row r="135" spans="1:25" s="3" customFormat="1" x14ac:dyDescent="0.4">
      <c r="A135" s="34" t="str">
        <f t="shared" si="32"/>
        <v/>
      </c>
      <c r="B135" s="15"/>
      <c r="C135" s="16"/>
      <c r="D135" s="5"/>
      <c r="E135" s="5"/>
      <c r="F135" s="5"/>
      <c r="G135" s="5"/>
      <c r="H135" s="5"/>
      <c r="I135" s="17"/>
      <c r="J135" s="16"/>
      <c r="K135" s="5"/>
      <c r="L135" s="5"/>
      <c r="M135" s="5"/>
      <c r="N135" s="5"/>
      <c r="O135" s="5"/>
      <c r="P135" s="17"/>
      <c r="Q135" s="50"/>
      <c r="R135" s="6"/>
      <c r="S135" s="58"/>
      <c r="T135" s="63" t="str">
        <f t="shared" ca="1" si="26"/>
        <v/>
      </c>
      <c r="U135" s="3" t="str">
        <f t="shared" ca="1" si="27"/>
        <v/>
      </c>
      <c r="V135" s="3" t="str">
        <f t="shared" ca="1" si="28"/>
        <v/>
      </c>
      <c r="W135" s="1" t="str">
        <f t="shared" ca="1" si="29"/>
        <v/>
      </c>
      <c r="X135" s="1" t="str">
        <f t="shared" ca="1" si="30"/>
        <v/>
      </c>
      <c r="Y135" s="3" t="str">
        <f t="shared" ca="1" si="31"/>
        <v/>
      </c>
    </row>
    <row r="136" spans="1:25" s="3" customFormat="1" x14ac:dyDescent="0.4">
      <c r="A136" s="34" t="str">
        <f t="shared" si="32"/>
        <v/>
      </c>
      <c r="B136" s="15"/>
      <c r="C136" s="16"/>
      <c r="D136" s="5"/>
      <c r="E136" s="5"/>
      <c r="F136" s="5"/>
      <c r="G136" s="5"/>
      <c r="H136" s="5"/>
      <c r="I136" s="17"/>
      <c r="J136" s="16"/>
      <c r="K136" s="5"/>
      <c r="L136" s="5"/>
      <c r="M136" s="5"/>
      <c r="N136" s="5"/>
      <c r="O136" s="5"/>
      <c r="P136" s="17"/>
      <c r="Q136" s="50"/>
      <c r="R136" s="6"/>
      <c r="S136" s="58"/>
      <c r="T136" s="63" t="str">
        <f t="shared" ca="1" si="26"/>
        <v/>
      </c>
      <c r="U136" s="3" t="str">
        <f t="shared" ca="1" si="27"/>
        <v/>
      </c>
      <c r="V136" s="3" t="str">
        <f t="shared" ca="1" si="28"/>
        <v/>
      </c>
      <c r="W136" s="1" t="str">
        <f t="shared" ca="1" si="29"/>
        <v/>
      </c>
      <c r="X136" s="1" t="str">
        <f t="shared" ca="1" si="30"/>
        <v/>
      </c>
      <c r="Y136" s="3" t="str">
        <f t="shared" ca="1" si="31"/>
        <v/>
      </c>
    </row>
    <row r="137" spans="1:25" s="3" customFormat="1" x14ac:dyDescent="0.4">
      <c r="A137" s="34" t="str">
        <f t="shared" si="32"/>
        <v/>
      </c>
      <c r="B137" s="15"/>
      <c r="C137" s="16"/>
      <c r="D137" s="5"/>
      <c r="E137" s="5"/>
      <c r="F137" s="5"/>
      <c r="G137" s="5"/>
      <c r="H137" s="5"/>
      <c r="I137" s="17"/>
      <c r="J137" s="16"/>
      <c r="K137" s="5"/>
      <c r="L137" s="5"/>
      <c r="M137" s="5"/>
      <c r="N137" s="5"/>
      <c r="O137" s="5"/>
      <c r="P137" s="17"/>
      <c r="Q137" s="50"/>
      <c r="R137" s="6"/>
      <c r="S137" s="58"/>
      <c r="T137" s="63" t="str">
        <f t="shared" ca="1" si="26"/>
        <v/>
      </c>
      <c r="U137" s="3" t="str">
        <f t="shared" ca="1" si="27"/>
        <v/>
      </c>
      <c r="V137" s="3" t="str">
        <f t="shared" ca="1" si="28"/>
        <v/>
      </c>
      <c r="W137" s="1" t="str">
        <f t="shared" ca="1" si="29"/>
        <v/>
      </c>
      <c r="X137" s="1" t="str">
        <f t="shared" ca="1" si="30"/>
        <v/>
      </c>
      <c r="Y137" s="3" t="str">
        <f t="shared" ca="1" si="31"/>
        <v/>
      </c>
    </row>
    <row r="138" spans="1:25" s="3" customFormat="1" x14ac:dyDescent="0.4">
      <c r="A138" s="34" t="str">
        <f t="shared" si="32"/>
        <v/>
      </c>
      <c r="B138" s="15"/>
      <c r="C138" s="16"/>
      <c r="D138" s="5"/>
      <c r="E138" s="5"/>
      <c r="F138" s="5"/>
      <c r="G138" s="5"/>
      <c r="H138" s="5"/>
      <c r="I138" s="17"/>
      <c r="J138" s="16"/>
      <c r="K138" s="5"/>
      <c r="L138" s="5"/>
      <c r="M138" s="5"/>
      <c r="N138" s="5"/>
      <c r="O138" s="5"/>
      <c r="P138" s="17"/>
      <c r="Q138" s="50"/>
      <c r="R138" s="6"/>
      <c r="S138" s="58"/>
      <c r="T138" s="63" t="str">
        <f t="shared" ca="1" si="26"/>
        <v/>
      </c>
      <c r="U138" s="3" t="str">
        <f t="shared" ca="1" si="27"/>
        <v/>
      </c>
      <c r="V138" s="3" t="str">
        <f t="shared" ca="1" si="28"/>
        <v/>
      </c>
      <c r="W138" s="1" t="str">
        <f t="shared" ca="1" si="29"/>
        <v/>
      </c>
      <c r="X138" s="1" t="str">
        <f t="shared" ca="1" si="30"/>
        <v/>
      </c>
      <c r="Y138" s="3" t="str">
        <f t="shared" ca="1" si="31"/>
        <v/>
      </c>
    </row>
    <row r="139" spans="1:25" s="3" customFormat="1" x14ac:dyDescent="0.4">
      <c r="A139" s="34" t="str">
        <f t="shared" si="32"/>
        <v/>
      </c>
      <c r="B139" s="15"/>
      <c r="C139" s="16"/>
      <c r="D139" s="5"/>
      <c r="E139" s="5"/>
      <c r="F139" s="5"/>
      <c r="G139" s="5"/>
      <c r="H139" s="5"/>
      <c r="I139" s="17"/>
      <c r="J139" s="16"/>
      <c r="K139" s="5"/>
      <c r="L139" s="5"/>
      <c r="M139" s="5"/>
      <c r="N139" s="5"/>
      <c r="O139" s="5"/>
      <c r="P139" s="17"/>
      <c r="Q139" s="50"/>
      <c r="R139" s="6"/>
      <c r="S139" s="58"/>
      <c r="T139" s="63" t="str">
        <f t="shared" ca="1" si="26"/>
        <v/>
      </c>
      <c r="U139" s="3" t="str">
        <f t="shared" ca="1" si="27"/>
        <v/>
      </c>
      <c r="V139" s="3" t="str">
        <f t="shared" ca="1" si="28"/>
        <v/>
      </c>
      <c r="W139" s="1" t="str">
        <f t="shared" ca="1" si="29"/>
        <v/>
      </c>
      <c r="X139" s="1" t="str">
        <f t="shared" ca="1" si="30"/>
        <v/>
      </c>
      <c r="Y139" s="3" t="str">
        <f t="shared" ca="1" si="31"/>
        <v/>
      </c>
    </row>
    <row r="140" spans="1:25" s="3" customFormat="1" x14ac:dyDescent="0.4">
      <c r="A140" s="34" t="str">
        <f t="shared" si="32"/>
        <v/>
      </c>
      <c r="B140" s="15"/>
      <c r="C140" s="16"/>
      <c r="D140" s="5"/>
      <c r="E140" s="5"/>
      <c r="F140" s="5"/>
      <c r="G140" s="5"/>
      <c r="H140" s="5"/>
      <c r="I140" s="17"/>
      <c r="J140" s="16"/>
      <c r="K140" s="5"/>
      <c r="L140" s="5"/>
      <c r="M140" s="5"/>
      <c r="N140" s="5"/>
      <c r="O140" s="5"/>
      <c r="P140" s="17"/>
      <c r="Q140" s="50"/>
      <c r="R140" s="6"/>
      <c r="S140" s="58"/>
      <c r="T140" s="63" t="str">
        <f t="shared" ca="1" si="26"/>
        <v/>
      </c>
      <c r="U140" s="3" t="str">
        <f t="shared" ca="1" si="27"/>
        <v/>
      </c>
      <c r="V140" s="3" t="str">
        <f t="shared" ca="1" si="28"/>
        <v/>
      </c>
      <c r="W140" s="1" t="str">
        <f t="shared" ca="1" si="29"/>
        <v/>
      </c>
      <c r="X140" s="1" t="str">
        <f t="shared" ca="1" si="30"/>
        <v/>
      </c>
      <c r="Y140" s="3" t="str">
        <f t="shared" ca="1" si="31"/>
        <v/>
      </c>
    </row>
    <row r="141" spans="1:25" s="3" customFormat="1" x14ac:dyDescent="0.4">
      <c r="A141" s="34" t="str">
        <f t="shared" si="32"/>
        <v/>
      </c>
      <c r="B141" s="15"/>
      <c r="C141" s="16"/>
      <c r="D141" s="5"/>
      <c r="E141" s="5"/>
      <c r="F141" s="5"/>
      <c r="G141" s="5"/>
      <c r="H141" s="5"/>
      <c r="I141" s="17"/>
      <c r="J141" s="16"/>
      <c r="K141" s="5"/>
      <c r="L141" s="5"/>
      <c r="M141" s="5"/>
      <c r="N141" s="5"/>
      <c r="O141" s="5"/>
      <c r="P141" s="17"/>
      <c r="Q141" s="50"/>
      <c r="R141" s="6"/>
      <c r="S141" s="58"/>
      <c r="T141" s="63" t="str">
        <f t="shared" ca="1" si="26"/>
        <v/>
      </c>
      <c r="U141" s="3" t="str">
        <f t="shared" ca="1" si="27"/>
        <v/>
      </c>
      <c r="V141" s="3" t="str">
        <f t="shared" ca="1" si="28"/>
        <v/>
      </c>
      <c r="W141" s="1" t="str">
        <f t="shared" ca="1" si="29"/>
        <v/>
      </c>
      <c r="X141" s="1" t="str">
        <f t="shared" ca="1" si="30"/>
        <v/>
      </c>
      <c r="Y141" s="3" t="str">
        <f t="shared" ca="1" si="31"/>
        <v/>
      </c>
    </row>
    <row r="142" spans="1:25" s="3" customFormat="1" x14ac:dyDescent="0.4">
      <c r="A142" s="34" t="str">
        <f t="shared" si="32"/>
        <v/>
      </c>
      <c r="B142" s="15"/>
      <c r="C142" s="16"/>
      <c r="D142" s="5"/>
      <c r="E142" s="5"/>
      <c r="F142" s="5"/>
      <c r="G142" s="5"/>
      <c r="H142" s="5"/>
      <c r="I142" s="17"/>
      <c r="J142" s="16"/>
      <c r="K142" s="5"/>
      <c r="L142" s="5"/>
      <c r="M142" s="5"/>
      <c r="N142" s="5"/>
      <c r="O142" s="5"/>
      <c r="P142" s="17"/>
      <c r="Q142" s="50"/>
      <c r="R142" s="6"/>
      <c r="S142" s="58"/>
      <c r="T142" s="63" t="str">
        <f t="shared" ca="1" si="26"/>
        <v/>
      </c>
      <c r="U142" s="3" t="str">
        <f t="shared" ca="1" si="27"/>
        <v/>
      </c>
      <c r="V142" s="3" t="str">
        <f t="shared" ca="1" si="28"/>
        <v/>
      </c>
      <c r="W142" s="1" t="str">
        <f t="shared" ca="1" si="29"/>
        <v/>
      </c>
      <c r="X142" s="1" t="str">
        <f t="shared" ca="1" si="30"/>
        <v/>
      </c>
      <c r="Y142" s="3" t="str">
        <f t="shared" ca="1" si="31"/>
        <v/>
      </c>
    </row>
    <row r="143" spans="1:25" s="3" customFormat="1" x14ac:dyDescent="0.4">
      <c r="A143" s="34" t="str">
        <f t="shared" si="32"/>
        <v/>
      </c>
      <c r="B143" s="15"/>
      <c r="C143" s="16"/>
      <c r="D143" s="5"/>
      <c r="E143" s="5"/>
      <c r="F143" s="5"/>
      <c r="G143" s="5"/>
      <c r="H143" s="5"/>
      <c r="I143" s="17"/>
      <c r="J143" s="16"/>
      <c r="K143" s="5"/>
      <c r="L143" s="5"/>
      <c r="M143" s="5"/>
      <c r="N143" s="5"/>
      <c r="O143" s="5"/>
      <c r="P143" s="17"/>
      <c r="Q143" s="50"/>
      <c r="R143" s="6"/>
      <c r="S143" s="58"/>
      <c r="T143" s="63" t="str">
        <f t="shared" ca="1" si="26"/>
        <v/>
      </c>
      <c r="U143" s="3" t="str">
        <f t="shared" ca="1" si="27"/>
        <v/>
      </c>
      <c r="V143" s="3" t="str">
        <f t="shared" ca="1" si="28"/>
        <v/>
      </c>
      <c r="W143" s="1" t="str">
        <f t="shared" ca="1" si="29"/>
        <v/>
      </c>
      <c r="X143" s="1" t="str">
        <f t="shared" ca="1" si="30"/>
        <v/>
      </c>
      <c r="Y143" s="3" t="str">
        <f t="shared" ca="1" si="31"/>
        <v/>
      </c>
    </row>
    <row r="144" spans="1:25" s="3" customFormat="1" x14ac:dyDescent="0.4">
      <c r="A144" s="34" t="str">
        <f t="shared" si="32"/>
        <v/>
      </c>
      <c r="B144" s="15"/>
      <c r="C144" s="16"/>
      <c r="D144" s="5"/>
      <c r="E144" s="5"/>
      <c r="F144" s="5"/>
      <c r="G144" s="5"/>
      <c r="H144" s="5"/>
      <c r="I144" s="17"/>
      <c r="J144" s="16"/>
      <c r="K144" s="5"/>
      <c r="L144" s="5"/>
      <c r="M144" s="5"/>
      <c r="N144" s="5"/>
      <c r="O144" s="5"/>
      <c r="P144" s="17"/>
      <c r="Q144" s="50"/>
      <c r="R144" s="6"/>
      <c r="S144" s="58"/>
      <c r="T144" s="63" t="str">
        <f t="shared" ca="1" si="26"/>
        <v/>
      </c>
      <c r="U144" s="3" t="str">
        <f t="shared" ca="1" si="27"/>
        <v/>
      </c>
      <c r="V144" s="3" t="str">
        <f t="shared" ca="1" si="28"/>
        <v/>
      </c>
      <c r="W144" s="1" t="str">
        <f t="shared" ca="1" si="29"/>
        <v/>
      </c>
      <c r="X144" s="1" t="str">
        <f t="shared" ca="1" si="30"/>
        <v/>
      </c>
      <c r="Y144" s="3" t="str">
        <f t="shared" ca="1" si="31"/>
        <v/>
      </c>
    </row>
    <row r="145" spans="1:25" s="3" customFormat="1" x14ac:dyDescent="0.4">
      <c r="A145" s="34" t="str">
        <f t="shared" si="32"/>
        <v/>
      </c>
      <c r="B145" s="15"/>
      <c r="C145" s="16"/>
      <c r="D145" s="5"/>
      <c r="E145" s="5"/>
      <c r="F145" s="5"/>
      <c r="G145" s="5"/>
      <c r="H145" s="5"/>
      <c r="I145" s="17"/>
      <c r="J145" s="16"/>
      <c r="K145" s="5"/>
      <c r="L145" s="5"/>
      <c r="M145" s="5"/>
      <c r="N145" s="5"/>
      <c r="O145" s="5"/>
      <c r="P145" s="17"/>
      <c r="Q145" s="50"/>
      <c r="R145" s="6"/>
      <c r="S145" s="58"/>
      <c r="T145" s="63" t="str">
        <f t="shared" ca="1" si="26"/>
        <v/>
      </c>
      <c r="U145" s="3" t="str">
        <f t="shared" ca="1" si="27"/>
        <v/>
      </c>
      <c r="V145" s="3" t="str">
        <f t="shared" ca="1" si="28"/>
        <v/>
      </c>
      <c r="W145" s="1" t="str">
        <f t="shared" ca="1" si="29"/>
        <v/>
      </c>
      <c r="X145" s="1" t="str">
        <f t="shared" ca="1" si="30"/>
        <v/>
      </c>
      <c r="Y145" s="3" t="str">
        <f t="shared" ca="1" si="31"/>
        <v/>
      </c>
    </row>
    <row r="146" spans="1:25" s="3" customFormat="1" x14ac:dyDescent="0.4">
      <c r="A146" s="34" t="str">
        <f t="shared" si="32"/>
        <v/>
      </c>
      <c r="B146" s="15"/>
      <c r="C146" s="16"/>
      <c r="D146" s="5"/>
      <c r="E146" s="5"/>
      <c r="F146" s="5"/>
      <c r="G146" s="5"/>
      <c r="H146" s="5"/>
      <c r="I146" s="17"/>
      <c r="J146" s="16"/>
      <c r="K146" s="5"/>
      <c r="L146" s="5"/>
      <c r="M146" s="5"/>
      <c r="N146" s="5"/>
      <c r="O146" s="5"/>
      <c r="P146" s="17"/>
      <c r="Q146" s="50"/>
      <c r="R146" s="6"/>
      <c r="S146" s="58"/>
      <c r="T146" s="63" t="str">
        <f t="shared" ca="1" si="26"/>
        <v/>
      </c>
      <c r="U146" s="3" t="str">
        <f t="shared" ca="1" si="27"/>
        <v/>
      </c>
      <c r="V146" s="3" t="str">
        <f t="shared" ca="1" si="28"/>
        <v/>
      </c>
      <c r="W146" s="1" t="str">
        <f t="shared" ca="1" si="29"/>
        <v/>
      </c>
      <c r="X146" s="1" t="str">
        <f t="shared" ca="1" si="30"/>
        <v/>
      </c>
      <c r="Y146" s="3" t="str">
        <f t="shared" ca="1" si="31"/>
        <v/>
      </c>
    </row>
    <row r="147" spans="1:25" s="3" customFormat="1" x14ac:dyDescent="0.4">
      <c r="A147" s="34" t="str">
        <f t="shared" si="32"/>
        <v/>
      </c>
      <c r="B147" s="15"/>
      <c r="C147" s="16"/>
      <c r="D147" s="5"/>
      <c r="E147" s="5"/>
      <c r="F147" s="5"/>
      <c r="G147" s="5"/>
      <c r="H147" s="5"/>
      <c r="I147" s="17"/>
      <c r="J147" s="16"/>
      <c r="K147" s="5"/>
      <c r="L147" s="5"/>
      <c r="M147" s="5"/>
      <c r="N147" s="5"/>
      <c r="O147" s="5"/>
      <c r="P147" s="17"/>
      <c r="Q147" s="50"/>
      <c r="R147" s="6"/>
      <c r="S147" s="58"/>
      <c r="T147" s="63" t="str">
        <f t="shared" ca="1" si="26"/>
        <v/>
      </c>
      <c r="U147" s="3" t="str">
        <f t="shared" ca="1" si="27"/>
        <v/>
      </c>
      <c r="V147" s="3" t="str">
        <f t="shared" ca="1" si="28"/>
        <v/>
      </c>
      <c r="W147" s="1" t="str">
        <f t="shared" ca="1" si="29"/>
        <v/>
      </c>
      <c r="X147" s="1" t="str">
        <f t="shared" ca="1" si="30"/>
        <v/>
      </c>
      <c r="Y147" s="3" t="str">
        <f t="shared" ca="1" si="31"/>
        <v/>
      </c>
    </row>
    <row r="148" spans="1:25" s="3" customFormat="1" x14ac:dyDescent="0.4">
      <c r="A148" s="34" t="str">
        <f t="shared" si="32"/>
        <v/>
      </c>
      <c r="B148" s="15"/>
      <c r="C148" s="16"/>
      <c r="D148" s="5"/>
      <c r="E148" s="5"/>
      <c r="F148" s="5"/>
      <c r="G148" s="5"/>
      <c r="H148" s="5"/>
      <c r="I148" s="17"/>
      <c r="J148" s="16"/>
      <c r="K148" s="5"/>
      <c r="L148" s="5"/>
      <c r="M148" s="5"/>
      <c r="N148" s="5"/>
      <c r="O148" s="5"/>
      <c r="P148" s="17"/>
      <c r="Q148" s="50"/>
      <c r="R148" s="6"/>
      <c r="S148" s="58"/>
      <c r="T148" s="63" t="str">
        <f t="shared" ca="1" si="26"/>
        <v/>
      </c>
      <c r="U148" s="3" t="str">
        <f t="shared" ca="1" si="27"/>
        <v/>
      </c>
      <c r="V148" s="3" t="str">
        <f t="shared" ca="1" si="28"/>
        <v/>
      </c>
      <c r="W148" s="1" t="str">
        <f t="shared" ca="1" si="29"/>
        <v/>
      </c>
      <c r="X148" s="1" t="str">
        <f t="shared" ca="1" si="30"/>
        <v/>
      </c>
      <c r="Y148" s="3" t="str">
        <f t="shared" ca="1" si="31"/>
        <v/>
      </c>
    </row>
    <row r="149" spans="1:25" s="3" customFormat="1" x14ac:dyDescent="0.4">
      <c r="A149" s="34" t="str">
        <f t="shared" si="32"/>
        <v/>
      </c>
      <c r="B149" s="15"/>
      <c r="C149" s="16"/>
      <c r="D149" s="5"/>
      <c r="E149" s="5"/>
      <c r="F149" s="5"/>
      <c r="G149" s="5"/>
      <c r="H149" s="5"/>
      <c r="I149" s="17"/>
      <c r="J149" s="16"/>
      <c r="K149" s="5"/>
      <c r="L149" s="5"/>
      <c r="M149" s="5"/>
      <c r="N149" s="5"/>
      <c r="O149" s="5"/>
      <c r="P149" s="17"/>
      <c r="Q149" s="50"/>
      <c r="R149" s="6"/>
      <c r="S149" s="58"/>
      <c r="T149" s="63" t="str">
        <f t="shared" ca="1" si="26"/>
        <v/>
      </c>
      <c r="U149" s="3" t="str">
        <f t="shared" ca="1" si="27"/>
        <v/>
      </c>
      <c r="V149" s="3" t="str">
        <f t="shared" ca="1" si="28"/>
        <v/>
      </c>
      <c r="W149" s="1" t="str">
        <f t="shared" ca="1" si="29"/>
        <v/>
      </c>
      <c r="X149" s="1" t="str">
        <f t="shared" ca="1" si="30"/>
        <v/>
      </c>
      <c r="Y149" s="3" t="str">
        <f t="shared" ca="1" si="31"/>
        <v/>
      </c>
    </row>
    <row r="150" spans="1:25" s="3" customFormat="1" x14ac:dyDescent="0.4">
      <c r="A150" s="34" t="str">
        <f t="shared" si="32"/>
        <v/>
      </c>
      <c r="B150" s="15"/>
      <c r="C150" s="16"/>
      <c r="D150" s="5"/>
      <c r="E150" s="5"/>
      <c r="F150" s="5"/>
      <c r="G150" s="5"/>
      <c r="H150" s="5"/>
      <c r="I150" s="17"/>
      <c r="J150" s="16"/>
      <c r="K150" s="5"/>
      <c r="L150" s="5"/>
      <c r="M150" s="5"/>
      <c r="N150" s="5"/>
      <c r="O150" s="5"/>
      <c r="P150" s="17"/>
      <c r="Q150" s="50"/>
      <c r="R150" s="6"/>
      <c r="S150" s="58"/>
      <c r="T150" s="63" t="str">
        <f t="shared" ca="1" si="26"/>
        <v/>
      </c>
      <c r="U150" s="3" t="str">
        <f t="shared" ca="1" si="27"/>
        <v/>
      </c>
      <c r="V150" s="3" t="str">
        <f t="shared" ca="1" si="28"/>
        <v/>
      </c>
      <c r="W150" s="1" t="str">
        <f t="shared" ca="1" si="29"/>
        <v/>
      </c>
      <c r="X150" s="1" t="str">
        <f t="shared" ca="1" si="30"/>
        <v/>
      </c>
      <c r="Y150" s="3" t="str">
        <f t="shared" ca="1" si="31"/>
        <v/>
      </c>
    </row>
    <row r="151" spans="1:25" s="3" customFormat="1" x14ac:dyDescent="0.4">
      <c r="A151" s="34" t="str">
        <f t="shared" si="32"/>
        <v/>
      </c>
      <c r="B151" s="15"/>
      <c r="C151" s="16"/>
      <c r="D151" s="5"/>
      <c r="E151" s="5"/>
      <c r="F151" s="5"/>
      <c r="G151" s="5"/>
      <c r="H151" s="5"/>
      <c r="I151" s="17"/>
      <c r="J151" s="16"/>
      <c r="K151" s="5"/>
      <c r="L151" s="5"/>
      <c r="M151" s="5"/>
      <c r="N151" s="5"/>
      <c r="O151" s="5"/>
      <c r="P151" s="17"/>
      <c r="Q151" s="50"/>
      <c r="R151" s="6"/>
      <c r="S151" s="58"/>
      <c r="T151" s="63" t="str">
        <f t="shared" ca="1" si="26"/>
        <v/>
      </c>
      <c r="U151" s="3" t="str">
        <f t="shared" ca="1" si="27"/>
        <v/>
      </c>
      <c r="V151" s="3" t="str">
        <f t="shared" ca="1" si="28"/>
        <v/>
      </c>
      <c r="W151" s="1" t="str">
        <f t="shared" ca="1" si="29"/>
        <v/>
      </c>
      <c r="X151" s="1" t="str">
        <f t="shared" ca="1" si="30"/>
        <v/>
      </c>
      <c r="Y151" s="3" t="str">
        <f t="shared" ca="1" si="31"/>
        <v/>
      </c>
    </row>
    <row r="152" spans="1:25" s="3" customFormat="1" x14ac:dyDescent="0.4">
      <c r="A152" s="34" t="str">
        <f t="shared" si="32"/>
        <v/>
      </c>
      <c r="B152" s="15"/>
      <c r="C152" s="16"/>
      <c r="D152" s="5"/>
      <c r="E152" s="5"/>
      <c r="F152" s="5"/>
      <c r="G152" s="5"/>
      <c r="H152" s="5"/>
      <c r="I152" s="17"/>
      <c r="J152" s="16"/>
      <c r="K152" s="5"/>
      <c r="L152" s="5"/>
      <c r="M152" s="5"/>
      <c r="N152" s="5"/>
      <c r="O152" s="5"/>
      <c r="P152" s="17"/>
      <c r="Q152" s="50"/>
      <c r="R152" s="6"/>
      <c r="S152" s="58"/>
      <c r="T152" s="63" t="str">
        <f t="shared" ca="1" si="26"/>
        <v/>
      </c>
      <c r="U152" s="3" t="str">
        <f t="shared" ca="1" si="27"/>
        <v/>
      </c>
      <c r="V152" s="3" t="str">
        <f t="shared" ca="1" si="28"/>
        <v/>
      </c>
      <c r="W152" s="1" t="str">
        <f t="shared" ca="1" si="29"/>
        <v/>
      </c>
      <c r="X152" s="1" t="str">
        <f t="shared" ca="1" si="30"/>
        <v/>
      </c>
      <c r="Y152" s="3" t="str">
        <f t="shared" ca="1" si="31"/>
        <v/>
      </c>
    </row>
    <row r="153" spans="1:25" s="3" customFormat="1" x14ac:dyDescent="0.4">
      <c r="A153" s="34" t="str">
        <f t="shared" si="32"/>
        <v/>
      </c>
      <c r="B153" s="15"/>
      <c r="C153" s="16"/>
      <c r="D153" s="5"/>
      <c r="E153" s="5"/>
      <c r="F153" s="5"/>
      <c r="G153" s="5"/>
      <c r="H153" s="5"/>
      <c r="I153" s="17"/>
      <c r="J153" s="16"/>
      <c r="K153" s="5"/>
      <c r="L153" s="5"/>
      <c r="M153" s="5"/>
      <c r="N153" s="5"/>
      <c r="O153" s="5"/>
      <c r="P153" s="17"/>
      <c r="Q153" s="50"/>
      <c r="R153" s="6"/>
      <c r="S153" s="58"/>
      <c r="T153" s="63" t="str">
        <f t="shared" ca="1" si="26"/>
        <v/>
      </c>
      <c r="U153" s="3" t="str">
        <f t="shared" ca="1" si="27"/>
        <v/>
      </c>
      <c r="V153" s="3" t="str">
        <f t="shared" ca="1" si="28"/>
        <v/>
      </c>
      <c r="W153" s="1" t="str">
        <f t="shared" ca="1" si="29"/>
        <v/>
      </c>
      <c r="X153" s="1" t="str">
        <f t="shared" ca="1" si="30"/>
        <v/>
      </c>
      <c r="Y153" s="3" t="str">
        <f t="shared" ca="1" si="31"/>
        <v/>
      </c>
    </row>
    <row r="154" spans="1:25" s="3" customFormat="1" x14ac:dyDescent="0.4">
      <c r="A154" s="34" t="str">
        <f t="shared" si="32"/>
        <v/>
      </c>
      <c r="B154" s="15"/>
      <c r="C154" s="16"/>
      <c r="D154" s="5"/>
      <c r="E154" s="5"/>
      <c r="F154" s="5"/>
      <c r="G154" s="5"/>
      <c r="H154" s="5"/>
      <c r="I154" s="17"/>
      <c r="J154" s="16"/>
      <c r="K154" s="5"/>
      <c r="L154" s="5"/>
      <c r="M154" s="5"/>
      <c r="N154" s="5"/>
      <c r="O154" s="5"/>
      <c r="P154" s="17"/>
      <c r="Q154" s="50"/>
      <c r="R154" s="6"/>
      <c r="S154" s="58"/>
      <c r="T154" s="63" t="str">
        <f t="shared" ca="1" si="26"/>
        <v/>
      </c>
      <c r="U154" s="3" t="str">
        <f t="shared" ca="1" si="27"/>
        <v/>
      </c>
      <c r="V154" s="3" t="str">
        <f t="shared" ca="1" si="28"/>
        <v/>
      </c>
      <c r="W154" s="1" t="str">
        <f t="shared" ca="1" si="29"/>
        <v/>
      </c>
      <c r="X154" s="1" t="str">
        <f t="shared" ca="1" si="30"/>
        <v/>
      </c>
      <c r="Y154" s="3" t="str">
        <f t="shared" ca="1" si="31"/>
        <v/>
      </c>
    </row>
    <row r="155" spans="1:25" s="3" customFormat="1" x14ac:dyDescent="0.4">
      <c r="A155" s="34" t="str">
        <f t="shared" si="32"/>
        <v/>
      </c>
      <c r="B155" s="15"/>
      <c r="C155" s="16"/>
      <c r="D155" s="5"/>
      <c r="E155" s="5"/>
      <c r="F155" s="5"/>
      <c r="G155" s="5"/>
      <c r="H155" s="5"/>
      <c r="I155" s="17"/>
      <c r="J155" s="16"/>
      <c r="K155" s="5"/>
      <c r="L155" s="5"/>
      <c r="M155" s="5"/>
      <c r="N155" s="5"/>
      <c r="O155" s="5"/>
      <c r="P155" s="17"/>
      <c r="Q155" s="50"/>
      <c r="R155" s="6"/>
      <c r="S155" s="58"/>
      <c r="T155" s="63" t="str">
        <f t="shared" ca="1" si="26"/>
        <v/>
      </c>
      <c r="U155" s="3" t="str">
        <f t="shared" ca="1" si="27"/>
        <v/>
      </c>
      <c r="V155" s="3" t="str">
        <f t="shared" ca="1" si="28"/>
        <v/>
      </c>
      <c r="W155" s="1" t="str">
        <f t="shared" ca="1" si="29"/>
        <v/>
      </c>
      <c r="X155" s="1" t="str">
        <f t="shared" ca="1" si="30"/>
        <v/>
      </c>
      <c r="Y155" s="3" t="str">
        <f t="shared" ca="1" si="31"/>
        <v/>
      </c>
    </row>
    <row r="156" spans="1:25" s="3" customFormat="1" x14ac:dyDescent="0.4">
      <c r="A156" s="34" t="str">
        <f t="shared" si="32"/>
        <v/>
      </c>
      <c r="B156" s="15"/>
      <c r="C156" s="16"/>
      <c r="D156" s="5"/>
      <c r="E156" s="5"/>
      <c r="F156" s="5"/>
      <c r="G156" s="5"/>
      <c r="H156" s="5"/>
      <c r="I156" s="17"/>
      <c r="J156" s="16"/>
      <c r="K156" s="5"/>
      <c r="L156" s="5"/>
      <c r="M156" s="5"/>
      <c r="N156" s="5"/>
      <c r="O156" s="5"/>
      <c r="P156" s="17"/>
      <c r="Q156" s="50"/>
      <c r="R156" s="6"/>
      <c r="S156" s="58"/>
      <c r="T156" s="63" t="str">
        <f t="shared" ca="1" si="26"/>
        <v/>
      </c>
      <c r="U156" s="3" t="str">
        <f t="shared" ca="1" si="27"/>
        <v/>
      </c>
      <c r="V156" s="3" t="str">
        <f t="shared" ca="1" si="28"/>
        <v/>
      </c>
      <c r="W156" s="1" t="str">
        <f t="shared" ca="1" si="29"/>
        <v/>
      </c>
      <c r="X156" s="1" t="str">
        <f t="shared" ca="1" si="30"/>
        <v/>
      </c>
      <c r="Y156" s="3" t="str">
        <f t="shared" ca="1" si="31"/>
        <v/>
      </c>
    </row>
    <row r="157" spans="1:25" s="3" customFormat="1" x14ac:dyDescent="0.4">
      <c r="A157" s="34" t="str">
        <f t="shared" si="32"/>
        <v/>
      </c>
      <c r="B157" s="15"/>
      <c r="C157" s="16"/>
      <c r="D157" s="5"/>
      <c r="E157" s="5"/>
      <c r="F157" s="5"/>
      <c r="G157" s="5"/>
      <c r="H157" s="5"/>
      <c r="I157" s="17"/>
      <c r="J157" s="16"/>
      <c r="K157" s="5"/>
      <c r="L157" s="5"/>
      <c r="M157" s="5"/>
      <c r="N157" s="5"/>
      <c r="O157" s="5"/>
      <c r="P157" s="17"/>
      <c r="Q157" s="50"/>
      <c r="R157" s="6"/>
      <c r="S157" s="58"/>
      <c r="T157" s="63" t="str">
        <f t="shared" ca="1" si="26"/>
        <v/>
      </c>
      <c r="U157" s="3" t="str">
        <f t="shared" ca="1" si="27"/>
        <v/>
      </c>
      <c r="V157" s="3" t="str">
        <f t="shared" ca="1" si="28"/>
        <v/>
      </c>
      <c r="W157" s="1" t="str">
        <f t="shared" ca="1" si="29"/>
        <v/>
      </c>
      <c r="X157" s="1" t="str">
        <f t="shared" ca="1" si="30"/>
        <v/>
      </c>
      <c r="Y157" s="3" t="str">
        <f t="shared" ca="1" si="31"/>
        <v/>
      </c>
    </row>
    <row r="158" spans="1:25" s="3" customFormat="1" x14ac:dyDescent="0.4">
      <c r="A158" s="34" t="str">
        <f t="shared" si="32"/>
        <v/>
      </c>
      <c r="B158" s="15"/>
      <c r="C158" s="16"/>
      <c r="D158" s="5"/>
      <c r="E158" s="5"/>
      <c r="F158" s="5"/>
      <c r="G158" s="5"/>
      <c r="H158" s="5"/>
      <c r="I158" s="17"/>
      <c r="J158" s="16"/>
      <c r="K158" s="5"/>
      <c r="L158" s="5"/>
      <c r="M158" s="5"/>
      <c r="N158" s="5"/>
      <c r="O158" s="5"/>
      <c r="P158" s="17"/>
      <c r="Q158" s="50"/>
      <c r="R158" s="6"/>
      <c r="S158" s="58"/>
      <c r="T158" s="63" t="str">
        <f t="shared" ca="1" si="26"/>
        <v/>
      </c>
      <c r="U158" s="3" t="str">
        <f t="shared" ca="1" si="27"/>
        <v/>
      </c>
      <c r="V158" s="3" t="str">
        <f t="shared" ca="1" si="28"/>
        <v/>
      </c>
      <c r="W158" s="1" t="str">
        <f t="shared" ca="1" si="29"/>
        <v/>
      </c>
      <c r="X158" s="1" t="str">
        <f t="shared" ca="1" si="30"/>
        <v/>
      </c>
      <c r="Y158" s="3" t="str">
        <f t="shared" ca="1" si="31"/>
        <v/>
      </c>
    </row>
    <row r="159" spans="1:25" s="3" customFormat="1" x14ac:dyDescent="0.4">
      <c r="A159" s="34" t="str">
        <f t="shared" si="32"/>
        <v/>
      </c>
      <c r="B159" s="15"/>
      <c r="C159" s="16"/>
      <c r="D159" s="5"/>
      <c r="E159" s="5"/>
      <c r="F159" s="5"/>
      <c r="G159" s="5"/>
      <c r="H159" s="5"/>
      <c r="I159" s="17"/>
      <c r="J159" s="16"/>
      <c r="K159" s="5"/>
      <c r="L159" s="5"/>
      <c r="M159" s="5"/>
      <c r="N159" s="5"/>
      <c r="O159" s="5"/>
      <c r="P159" s="17"/>
      <c r="Q159" s="50"/>
      <c r="R159" s="6"/>
      <c r="S159" s="58"/>
      <c r="T159" s="63" t="str">
        <f t="shared" ca="1" si="26"/>
        <v/>
      </c>
      <c r="U159" s="3" t="str">
        <f t="shared" ca="1" si="27"/>
        <v/>
      </c>
      <c r="V159" s="3" t="str">
        <f t="shared" ca="1" si="28"/>
        <v/>
      </c>
      <c r="W159" s="1" t="str">
        <f t="shared" ca="1" si="29"/>
        <v/>
      </c>
      <c r="X159" s="1" t="str">
        <f t="shared" ca="1" si="30"/>
        <v/>
      </c>
      <c r="Y159" s="3" t="str">
        <f t="shared" ca="1" si="31"/>
        <v/>
      </c>
    </row>
    <row r="160" spans="1:25" s="3" customFormat="1" x14ac:dyDescent="0.4">
      <c r="A160" s="34" t="str">
        <f t="shared" si="32"/>
        <v/>
      </c>
      <c r="B160" s="15"/>
      <c r="C160" s="16"/>
      <c r="D160" s="5"/>
      <c r="E160" s="5"/>
      <c r="F160" s="5"/>
      <c r="G160" s="5"/>
      <c r="H160" s="5"/>
      <c r="I160" s="17"/>
      <c r="J160" s="16"/>
      <c r="K160" s="5"/>
      <c r="L160" s="5"/>
      <c r="M160" s="5"/>
      <c r="N160" s="5"/>
      <c r="O160" s="5"/>
      <c r="P160" s="17"/>
      <c r="Q160" s="50"/>
      <c r="R160" s="6"/>
      <c r="S160" s="58"/>
      <c r="T160" s="63" t="str">
        <f t="shared" ca="1" si="26"/>
        <v/>
      </c>
      <c r="U160" s="3" t="str">
        <f t="shared" ca="1" si="27"/>
        <v/>
      </c>
      <c r="V160" s="3" t="str">
        <f t="shared" ca="1" si="28"/>
        <v/>
      </c>
      <c r="W160" s="1" t="str">
        <f t="shared" ca="1" si="29"/>
        <v/>
      </c>
      <c r="X160" s="1" t="str">
        <f t="shared" ca="1" si="30"/>
        <v/>
      </c>
      <c r="Y160" s="3" t="str">
        <f t="shared" ca="1" si="31"/>
        <v/>
      </c>
    </row>
    <row r="161" spans="1:25" s="3" customFormat="1" x14ac:dyDescent="0.4">
      <c r="A161" s="34" t="str">
        <f t="shared" si="32"/>
        <v/>
      </c>
      <c r="B161" s="15"/>
      <c r="C161" s="16"/>
      <c r="D161" s="5"/>
      <c r="E161" s="5"/>
      <c r="F161" s="5"/>
      <c r="G161" s="5"/>
      <c r="H161" s="5"/>
      <c r="I161" s="17"/>
      <c r="J161" s="16"/>
      <c r="K161" s="5"/>
      <c r="L161" s="5"/>
      <c r="M161" s="5"/>
      <c r="N161" s="5"/>
      <c r="O161" s="5"/>
      <c r="P161" s="17"/>
      <c r="Q161" s="50"/>
      <c r="R161" s="6"/>
      <c r="S161" s="58"/>
      <c r="T161" s="63" t="str">
        <f t="shared" ca="1" si="26"/>
        <v/>
      </c>
      <c r="U161" s="3" t="str">
        <f t="shared" ca="1" si="27"/>
        <v/>
      </c>
      <c r="V161" s="3" t="str">
        <f t="shared" ca="1" si="28"/>
        <v/>
      </c>
      <c r="W161" s="1" t="str">
        <f t="shared" ca="1" si="29"/>
        <v/>
      </c>
      <c r="X161" s="1" t="str">
        <f t="shared" ca="1" si="30"/>
        <v/>
      </c>
      <c r="Y161" s="3" t="str">
        <f t="shared" ca="1" si="31"/>
        <v/>
      </c>
    </row>
    <row r="162" spans="1:25" s="3" customFormat="1" x14ac:dyDescent="0.4">
      <c r="A162" s="34" t="str">
        <f t="shared" si="32"/>
        <v/>
      </c>
      <c r="B162" s="15"/>
      <c r="C162" s="16"/>
      <c r="D162" s="5"/>
      <c r="E162" s="5"/>
      <c r="F162" s="5"/>
      <c r="G162" s="5"/>
      <c r="H162" s="5"/>
      <c r="I162" s="17"/>
      <c r="J162" s="16"/>
      <c r="K162" s="5"/>
      <c r="L162" s="5"/>
      <c r="M162" s="5"/>
      <c r="N162" s="5"/>
      <c r="O162" s="5"/>
      <c r="P162" s="17"/>
      <c r="Q162" s="50"/>
      <c r="R162" s="6"/>
      <c r="S162" s="58"/>
      <c r="T162" s="63" t="str">
        <f t="shared" ca="1" si="26"/>
        <v/>
      </c>
      <c r="U162" s="3" t="str">
        <f t="shared" ca="1" si="27"/>
        <v/>
      </c>
      <c r="V162" s="3" t="str">
        <f t="shared" ca="1" si="28"/>
        <v/>
      </c>
      <c r="W162" s="1" t="str">
        <f t="shared" ca="1" si="29"/>
        <v/>
      </c>
      <c r="X162" s="1" t="str">
        <f t="shared" ca="1" si="30"/>
        <v/>
      </c>
      <c r="Y162" s="3" t="str">
        <f t="shared" ca="1" si="31"/>
        <v/>
      </c>
    </row>
    <row r="163" spans="1:25" s="3" customFormat="1" x14ac:dyDescent="0.4">
      <c r="A163" s="34" t="str">
        <f t="shared" si="32"/>
        <v/>
      </c>
      <c r="B163" s="15"/>
      <c r="C163" s="16"/>
      <c r="D163" s="5"/>
      <c r="E163" s="5"/>
      <c r="F163" s="5"/>
      <c r="G163" s="5"/>
      <c r="H163" s="5"/>
      <c r="I163" s="17"/>
      <c r="J163" s="16"/>
      <c r="K163" s="5"/>
      <c r="L163" s="5"/>
      <c r="M163" s="5"/>
      <c r="N163" s="5"/>
      <c r="O163" s="5"/>
      <c r="P163" s="17"/>
      <c r="Q163" s="50"/>
      <c r="R163" s="6"/>
      <c r="S163" s="58"/>
      <c r="T163" s="63" t="str">
        <f t="shared" ca="1" si="26"/>
        <v/>
      </c>
      <c r="U163" s="3" t="str">
        <f t="shared" ca="1" si="27"/>
        <v/>
      </c>
      <c r="V163" s="3" t="str">
        <f t="shared" ca="1" si="28"/>
        <v/>
      </c>
      <c r="W163" s="1" t="str">
        <f t="shared" ca="1" si="29"/>
        <v/>
      </c>
      <c r="X163" s="1" t="str">
        <f t="shared" ca="1" si="30"/>
        <v/>
      </c>
      <c r="Y163" s="3" t="str">
        <f t="shared" ca="1" si="31"/>
        <v/>
      </c>
    </row>
    <row r="164" spans="1:25" s="3" customFormat="1" x14ac:dyDescent="0.4">
      <c r="A164" s="34" t="str">
        <f t="shared" si="32"/>
        <v/>
      </c>
      <c r="B164" s="15"/>
      <c r="C164" s="16"/>
      <c r="D164" s="5"/>
      <c r="E164" s="5"/>
      <c r="F164" s="5"/>
      <c r="G164" s="5"/>
      <c r="H164" s="5"/>
      <c r="I164" s="17"/>
      <c r="J164" s="16"/>
      <c r="K164" s="5"/>
      <c r="L164" s="5"/>
      <c r="M164" s="5"/>
      <c r="N164" s="5"/>
      <c r="O164" s="5"/>
      <c r="P164" s="17"/>
      <c r="Q164" s="50"/>
      <c r="R164" s="6"/>
      <c r="S164" s="58"/>
      <c r="T164" s="63" t="str">
        <f t="shared" ca="1" si="26"/>
        <v/>
      </c>
      <c r="U164" s="3" t="str">
        <f t="shared" ca="1" si="27"/>
        <v/>
      </c>
      <c r="V164" s="3" t="str">
        <f t="shared" ca="1" si="28"/>
        <v/>
      </c>
      <c r="W164" s="1" t="str">
        <f t="shared" ca="1" si="29"/>
        <v/>
      </c>
      <c r="X164" s="1" t="str">
        <f t="shared" ca="1" si="30"/>
        <v/>
      </c>
      <c r="Y164" s="3" t="str">
        <f t="shared" ca="1" si="31"/>
        <v/>
      </c>
    </row>
    <row r="165" spans="1:25" s="3" customFormat="1" x14ac:dyDescent="0.4">
      <c r="A165" s="34" t="str">
        <f t="shared" si="32"/>
        <v/>
      </c>
      <c r="B165" s="15"/>
      <c r="C165" s="16"/>
      <c r="D165" s="5"/>
      <c r="E165" s="5"/>
      <c r="F165" s="5"/>
      <c r="G165" s="5"/>
      <c r="H165" s="5"/>
      <c r="I165" s="17"/>
      <c r="J165" s="16"/>
      <c r="K165" s="5"/>
      <c r="L165" s="5"/>
      <c r="M165" s="5"/>
      <c r="N165" s="5"/>
      <c r="O165" s="5"/>
      <c r="P165" s="17"/>
      <c r="Q165" s="50"/>
      <c r="R165" s="6"/>
      <c r="S165" s="58"/>
      <c r="T165" s="63" t="str">
        <f t="shared" ref="T165:T196" ca="1" si="33">IF(ISNA(VLOOKUP(E165,地址類別Mapping,2,FALSE)),"",VLOOKUP(E165,地址類別Mapping,2,FALSE))</f>
        <v/>
      </c>
      <c r="U165" s="3" t="str">
        <f t="shared" ref="U165:U196" ca="1" si="34">IF(ISNA(VLOOKUP(F165&amp;"-"&amp;G165,郵遞區號,2,FALSE)),"",VLOOKUP(F165&amp;"-"&amp;G165,郵遞區號,2,FALSE))</f>
        <v/>
      </c>
      <c r="V165" s="3" t="str">
        <f t="shared" ref="V165:V196" ca="1" si="35">IF(ISNA(VLOOKUP(M165&amp;"-"&amp;N165,郵遞區號,2,FALSE)),"",VLOOKUP(M165&amp;"-"&amp;N165,郵遞區號,2,FALSE))</f>
        <v/>
      </c>
      <c r="W165" s="1" t="str">
        <f t="shared" ref="W165:W196" ca="1" si="36">IF(ISNA(VLOOKUP(B165,郵件種類MAPPING,2,FALSE)),"",VLOOKUP(B165,郵件種類MAPPING,2,FALSE))</f>
        <v/>
      </c>
      <c r="X165" s="1" t="str">
        <f t="shared" ref="X165:X196" ca="1" si="37">IF(ISNA(VLOOKUP(R165,箱袋種類Mapping,2,FALSE)),"",VLOOKUP(R165,箱袋種類Mapping,2,FALSE))</f>
        <v/>
      </c>
      <c r="Y165" s="3" t="str">
        <f t="shared" ref="Y165:Y196" ca="1" si="38">IF(ISNA(VLOOKUP(B165,郵件種類MAPPING,2,FALSE)),"","203")</f>
        <v/>
      </c>
    </row>
    <row r="166" spans="1:25" s="3" customFormat="1" x14ac:dyDescent="0.4">
      <c r="A166" s="34" t="str">
        <f t="shared" si="32"/>
        <v/>
      </c>
      <c r="B166" s="15"/>
      <c r="C166" s="16"/>
      <c r="D166" s="5"/>
      <c r="E166" s="5"/>
      <c r="F166" s="5"/>
      <c r="G166" s="5"/>
      <c r="H166" s="5"/>
      <c r="I166" s="17"/>
      <c r="J166" s="16"/>
      <c r="K166" s="5"/>
      <c r="L166" s="5"/>
      <c r="M166" s="5"/>
      <c r="N166" s="5"/>
      <c r="O166" s="5"/>
      <c r="P166" s="17"/>
      <c r="Q166" s="50"/>
      <c r="R166" s="6"/>
      <c r="S166" s="58"/>
      <c r="T166" s="63" t="str">
        <f t="shared" ca="1" si="33"/>
        <v/>
      </c>
      <c r="U166" s="3" t="str">
        <f t="shared" ca="1" si="34"/>
        <v/>
      </c>
      <c r="V166" s="3" t="str">
        <f t="shared" ca="1" si="35"/>
        <v/>
      </c>
      <c r="W166" s="1" t="str">
        <f t="shared" ca="1" si="36"/>
        <v/>
      </c>
      <c r="X166" s="1" t="str">
        <f t="shared" ca="1" si="37"/>
        <v/>
      </c>
      <c r="Y166" s="3" t="str">
        <f t="shared" ca="1" si="38"/>
        <v/>
      </c>
    </row>
    <row r="167" spans="1:25" s="3" customFormat="1" x14ac:dyDescent="0.4">
      <c r="A167" s="34" t="str">
        <f t="shared" si="32"/>
        <v/>
      </c>
      <c r="B167" s="15"/>
      <c r="C167" s="16"/>
      <c r="D167" s="5"/>
      <c r="E167" s="5"/>
      <c r="F167" s="5"/>
      <c r="G167" s="5"/>
      <c r="H167" s="5"/>
      <c r="I167" s="17"/>
      <c r="J167" s="16"/>
      <c r="K167" s="5"/>
      <c r="L167" s="5"/>
      <c r="M167" s="5"/>
      <c r="N167" s="5"/>
      <c r="O167" s="5"/>
      <c r="P167" s="17"/>
      <c r="Q167" s="50"/>
      <c r="R167" s="6"/>
      <c r="S167" s="58"/>
      <c r="T167" s="63" t="str">
        <f t="shared" ca="1" si="33"/>
        <v/>
      </c>
      <c r="U167" s="3" t="str">
        <f t="shared" ca="1" si="34"/>
        <v/>
      </c>
      <c r="V167" s="3" t="str">
        <f t="shared" ca="1" si="35"/>
        <v/>
      </c>
      <c r="W167" s="1" t="str">
        <f t="shared" ca="1" si="36"/>
        <v/>
      </c>
      <c r="X167" s="1" t="str">
        <f t="shared" ca="1" si="37"/>
        <v/>
      </c>
      <c r="Y167" s="3" t="str">
        <f t="shared" ca="1" si="38"/>
        <v/>
      </c>
    </row>
    <row r="168" spans="1:25" s="3" customFormat="1" x14ac:dyDescent="0.4">
      <c r="A168" s="34" t="str">
        <f t="shared" si="32"/>
        <v/>
      </c>
      <c r="B168" s="15"/>
      <c r="C168" s="16"/>
      <c r="D168" s="5"/>
      <c r="E168" s="5"/>
      <c r="F168" s="5"/>
      <c r="G168" s="5"/>
      <c r="H168" s="5"/>
      <c r="I168" s="17"/>
      <c r="J168" s="16"/>
      <c r="K168" s="5"/>
      <c r="L168" s="5"/>
      <c r="M168" s="5"/>
      <c r="N168" s="5"/>
      <c r="O168" s="5"/>
      <c r="P168" s="17"/>
      <c r="Q168" s="50"/>
      <c r="R168" s="6"/>
      <c r="S168" s="58"/>
      <c r="T168" s="63" t="str">
        <f t="shared" ca="1" si="33"/>
        <v/>
      </c>
      <c r="U168" s="3" t="str">
        <f t="shared" ca="1" si="34"/>
        <v/>
      </c>
      <c r="V168" s="3" t="str">
        <f t="shared" ca="1" si="35"/>
        <v/>
      </c>
      <c r="W168" s="1" t="str">
        <f t="shared" ca="1" si="36"/>
        <v/>
      </c>
      <c r="X168" s="1" t="str">
        <f t="shared" ca="1" si="37"/>
        <v/>
      </c>
      <c r="Y168" s="3" t="str">
        <f t="shared" ca="1" si="38"/>
        <v/>
      </c>
    </row>
    <row r="169" spans="1:25" s="3" customFormat="1" x14ac:dyDescent="0.4">
      <c r="A169" s="34" t="str">
        <f t="shared" si="32"/>
        <v/>
      </c>
      <c r="B169" s="15"/>
      <c r="C169" s="16"/>
      <c r="D169" s="5"/>
      <c r="E169" s="5"/>
      <c r="F169" s="5"/>
      <c r="G169" s="5"/>
      <c r="H169" s="5"/>
      <c r="I169" s="17"/>
      <c r="J169" s="16"/>
      <c r="K169" s="5"/>
      <c r="L169" s="5"/>
      <c r="M169" s="5"/>
      <c r="N169" s="5"/>
      <c r="O169" s="5"/>
      <c r="P169" s="17"/>
      <c r="Q169" s="50"/>
      <c r="R169" s="6"/>
      <c r="S169" s="58"/>
      <c r="T169" s="63" t="str">
        <f t="shared" ca="1" si="33"/>
        <v/>
      </c>
      <c r="U169" s="3" t="str">
        <f t="shared" ca="1" si="34"/>
        <v/>
      </c>
      <c r="V169" s="3" t="str">
        <f t="shared" ca="1" si="35"/>
        <v/>
      </c>
      <c r="W169" s="1" t="str">
        <f t="shared" ca="1" si="36"/>
        <v/>
      </c>
      <c r="X169" s="1" t="str">
        <f t="shared" ca="1" si="37"/>
        <v/>
      </c>
      <c r="Y169" s="3" t="str">
        <f t="shared" ca="1" si="38"/>
        <v/>
      </c>
    </row>
    <row r="170" spans="1:25" s="3" customFormat="1" x14ac:dyDescent="0.4">
      <c r="A170" s="34" t="str">
        <f t="shared" si="32"/>
        <v/>
      </c>
      <c r="B170" s="15"/>
      <c r="C170" s="16"/>
      <c r="D170" s="5"/>
      <c r="E170" s="5"/>
      <c r="F170" s="5"/>
      <c r="G170" s="5"/>
      <c r="H170" s="5"/>
      <c r="I170" s="17"/>
      <c r="J170" s="16"/>
      <c r="K170" s="5"/>
      <c r="L170" s="5"/>
      <c r="M170" s="5"/>
      <c r="N170" s="5"/>
      <c r="O170" s="5"/>
      <c r="P170" s="17"/>
      <c r="Q170" s="50"/>
      <c r="R170" s="6"/>
      <c r="S170" s="58"/>
      <c r="T170" s="63" t="str">
        <f t="shared" ca="1" si="33"/>
        <v/>
      </c>
      <c r="U170" s="3" t="str">
        <f t="shared" ca="1" si="34"/>
        <v/>
      </c>
      <c r="V170" s="3" t="str">
        <f t="shared" ca="1" si="35"/>
        <v/>
      </c>
      <c r="W170" s="1" t="str">
        <f t="shared" ca="1" si="36"/>
        <v/>
      </c>
      <c r="X170" s="1" t="str">
        <f t="shared" ca="1" si="37"/>
        <v/>
      </c>
      <c r="Y170" s="3" t="str">
        <f t="shared" ca="1" si="38"/>
        <v/>
      </c>
    </row>
    <row r="171" spans="1:25" s="3" customFormat="1" x14ac:dyDescent="0.4">
      <c r="A171" s="34" t="str">
        <f t="shared" si="32"/>
        <v/>
      </c>
      <c r="B171" s="15"/>
      <c r="C171" s="16"/>
      <c r="D171" s="5"/>
      <c r="E171" s="5"/>
      <c r="F171" s="5"/>
      <c r="G171" s="5"/>
      <c r="H171" s="5"/>
      <c r="I171" s="17"/>
      <c r="J171" s="16"/>
      <c r="K171" s="5"/>
      <c r="L171" s="5"/>
      <c r="M171" s="5"/>
      <c r="N171" s="5"/>
      <c r="O171" s="5"/>
      <c r="P171" s="17"/>
      <c r="Q171" s="50"/>
      <c r="R171" s="6"/>
      <c r="S171" s="58"/>
      <c r="T171" s="63" t="str">
        <f t="shared" ca="1" si="33"/>
        <v/>
      </c>
      <c r="U171" s="3" t="str">
        <f t="shared" ca="1" si="34"/>
        <v/>
      </c>
      <c r="V171" s="3" t="str">
        <f t="shared" ca="1" si="35"/>
        <v/>
      </c>
      <c r="W171" s="1" t="str">
        <f t="shared" ca="1" si="36"/>
        <v/>
      </c>
      <c r="X171" s="1" t="str">
        <f t="shared" ca="1" si="37"/>
        <v/>
      </c>
      <c r="Y171" s="3" t="str">
        <f t="shared" ca="1" si="38"/>
        <v/>
      </c>
    </row>
    <row r="172" spans="1:25" s="3" customFormat="1" x14ac:dyDescent="0.4">
      <c r="A172" s="34" t="str">
        <f t="shared" si="32"/>
        <v/>
      </c>
      <c r="B172" s="15"/>
      <c r="C172" s="16"/>
      <c r="D172" s="5"/>
      <c r="E172" s="5"/>
      <c r="F172" s="5"/>
      <c r="G172" s="5"/>
      <c r="H172" s="5"/>
      <c r="I172" s="17"/>
      <c r="J172" s="16"/>
      <c r="K172" s="5"/>
      <c r="L172" s="5"/>
      <c r="M172" s="5"/>
      <c r="N172" s="5"/>
      <c r="O172" s="5"/>
      <c r="P172" s="17"/>
      <c r="Q172" s="50"/>
      <c r="R172" s="6"/>
      <c r="S172" s="58"/>
      <c r="T172" s="63" t="str">
        <f t="shared" ca="1" si="33"/>
        <v/>
      </c>
      <c r="U172" s="3" t="str">
        <f t="shared" ca="1" si="34"/>
        <v/>
      </c>
      <c r="V172" s="3" t="str">
        <f t="shared" ca="1" si="35"/>
        <v/>
      </c>
      <c r="W172" s="1" t="str">
        <f t="shared" ca="1" si="36"/>
        <v/>
      </c>
      <c r="X172" s="1" t="str">
        <f t="shared" ca="1" si="37"/>
        <v/>
      </c>
      <c r="Y172" s="3" t="str">
        <f t="shared" ca="1" si="38"/>
        <v/>
      </c>
    </row>
    <row r="173" spans="1:25" s="3" customFormat="1" x14ac:dyDescent="0.4">
      <c r="A173" s="34" t="str">
        <f t="shared" si="32"/>
        <v/>
      </c>
      <c r="B173" s="15"/>
      <c r="C173" s="16"/>
      <c r="D173" s="5"/>
      <c r="E173" s="5"/>
      <c r="F173" s="5"/>
      <c r="G173" s="5"/>
      <c r="H173" s="5"/>
      <c r="I173" s="17"/>
      <c r="J173" s="16"/>
      <c r="K173" s="5"/>
      <c r="L173" s="5"/>
      <c r="M173" s="5"/>
      <c r="N173" s="5"/>
      <c r="O173" s="5"/>
      <c r="P173" s="17"/>
      <c r="Q173" s="50"/>
      <c r="R173" s="6"/>
      <c r="S173" s="58"/>
      <c r="T173" s="63" t="str">
        <f t="shared" ca="1" si="33"/>
        <v/>
      </c>
      <c r="U173" s="3" t="str">
        <f t="shared" ca="1" si="34"/>
        <v/>
      </c>
      <c r="V173" s="3" t="str">
        <f t="shared" ca="1" si="35"/>
        <v/>
      </c>
      <c r="W173" s="1" t="str">
        <f t="shared" ca="1" si="36"/>
        <v/>
      </c>
      <c r="X173" s="1" t="str">
        <f t="shared" ca="1" si="37"/>
        <v/>
      </c>
      <c r="Y173" s="3" t="str">
        <f t="shared" ca="1" si="38"/>
        <v/>
      </c>
    </row>
    <row r="174" spans="1:25" s="3" customFormat="1" x14ac:dyDescent="0.4">
      <c r="A174" s="34" t="str">
        <f t="shared" si="32"/>
        <v/>
      </c>
      <c r="B174" s="15"/>
      <c r="C174" s="16"/>
      <c r="D174" s="5"/>
      <c r="E174" s="5"/>
      <c r="F174" s="5"/>
      <c r="G174" s="5"/>
      <c r="H174" s="5"/>
      <c r="I174" s="17"/>
      <c r="J174" s="16"/>
      <c r="K174" s="5"/>
      <c r="L174" s="5"/>
      <c r="M174" s="5"/>
      <c r="N174" s="5"/>
      <c r="O174" s="5"/>
      <c r="P174" s="17"/>
      <c r="Q174" s="50"/>
      <c r="R174" s="6"/>
      <c r="S174" s="58"/>
      <c r="T174" s="63" t="str">
        <f t="shared" ca="1" si="33"/>
        <v/>
      </c>
      <c r="U174" s="3" t="str">
        <f t="shared" ca="1" si="34"/>
        <v/>
      </c>
      <c r="V174" s="3" t="str">
        <f t="shared" ca="1" si="35"/>
        <v/>
      </c>
      <c r="W174" s="1" t="str">
        <f t="shared" ca="1" si="36"/>
        <v/>
      </c>
      <c r="X174" s="1" t="str">
        <f t="shared" ca="1" si="37"/>
        <v/>
      </c>
      <c r="Y174" s="3" t="str">
        <f t="shared" ca="1" si="38"/>
        <v/>
      </c>
    </row>
    <row r="175" spans="1:25" s="3" customFormat="1" x14ac:dyDescent="0.4">
      <c r="A175" s="34" t="str">
        <f t="shared" si="32"/>
        <v/>
      </c>
      <c r="B175" s="15"/>
      <c r="C175" s="16"/>
      <c r="D175" s="5"/>
      <c r="E175" s="5"/>
      <c r="F175" s="5"/>
      <c r="G175" s="5"/>
      <c r="H175" s="5"/>
      <c r="I175" s="17"/>
      <c r="J175" s="16"/>
      <c r="K175" s="5"/>
      <c r="L175" s="5"/>
      <c r="M175" s="5"/>
      <c r="N175" s="5"/>
      <c r="O175" s="5"/>
      <c r="P175" s="17"/>
      <c r="Q175" s="50"/>
      <c r="R175" s="6"/>
      <c r="S175" s="58"/>
      <c r="T175" s="63" t="str">
        <f t="shared" ca="1" si="33"/>
        <v/>
      </c>
      <c r="U175" s="3" t="str">
        <f t="shared" ca="1" si="34"/>
        <v/>
      </c>
      <c r="V175" s="3" t="str">
        <f t="shared" ca="1" si="35"/>
        <v/>
      </c>
      <c r="W175" s="1" t="str">
        <f t="shared" ca="1" si="36"/>
        <v/>
      </c>
      <c r="X175" s="1" t="str">
        <f t="shared" ca="1" si="37"/>
        <v/>
      </c>
      <c r="Y175" s="3" t="str">
        <f t="shared" ca="1" si="38"/>
        <v/>
      </c>
    </row>
    <row r="176" spans="1:25" s="3" customFormat="1" x14ac:dyDescent="0.4">
      <c r="A176" s="34" t="str">
        <f t="shared" si="32"/>
        <v/>
      </c>
      <c r="B176" s="15"/>
      <c r="C176" s="16"/>
      <c r="D176" s="5"/>
      <c r="E176" s="5"/>
      <c r="F176" s="5"/>
      <c r="G176" s="5"/>
      <c r="H176" s="5"/>
      <c r="I176" s="17"/>
      <c r="J176" s="16"/>
      <c r="K176" s="5"/>
      <c r="L176" s="5"/>
      <c r="M176" s="5"/>
      <c r="N176" s="5"/>
      <c r="O176" s="5"/>
      <c r="P176" s="17"/>
      <c r="Q176" s="50"/>
      <c r="R176" s="6"/>
      <c r="S176" s="58"/>
      <c r="T176" s="63" t="str">
        <f t="shared" ca="1" si="33"/>
        <v/>
      </c>
      <c r="U176" s="3" t="str">
        <f t="shared" ca="1" si="34"/>
        <v/>
      </c>
      <c r="V176" s="3" t="str">
        <f t="shared" ca="1" si="35"/>
        <v/>
      </c>
      <c r="W176" s="1" t="str">
        <f t="shared" ca="1" si="36"/>
        <v/>
      </c>
      <c r="X176" s="1" t="str">
        <f t="shared" ca="1" si="37"/>
        <v/>
      </c>
      <c r="Y176" s="3" t="str">
        <f t="shared" ca="1" si="38"/>
        <v/>
      </c>
    </row>
    <row r="177" spans="1:25" s="3" customFormat="1" x14ac:dyDescent="0.4">
      <c r="A177" s="34" t="str">
        <f t="shared" si="32"/>
        <v/>
      </c>
      <c r="B177" s="15"/>
      <c r="C177" s="16"/>
      <c r="D177" s="5"/>
      <c r="E177" s="5"/>
      <c r="F177" s="5"/>
      <c r="G177" s="5"/>
      <c r="H177" s="5"/>
      <c r="I177" s="17"/>
      <c r="J177" s="16"/>
      <c r="K177" s="5"/>
      <c r="L177" s="5"/>
      <c r="M177" s="5"/>
      <c r="N177" s="5"/>
      <c r="O177" s="5"/>
      <c r="P177" s="17"/>
      <c r="Q177" s="50"/>
      <c r="R177" s="6"/>
      <c r="S177" s="58"/>
      <c r="T177" s="63" t="str">
        <f t="shared" ca="1" si="33"/>
        <v/>
      </c>
      <c r="U177" s="3" t="str">
        <f t="shared" ca="1" si="34"/>
        <v/>
      </c>
      <c r="V177" s="3" t="str">
        <f t="shared" ca="1" si="35"/>
        <v/>
      </c>
      <c r="W177" s="1" t="str">
        <f t="shared" ca="1" si="36"/>
        <v/>
      </c>
      <c r="X177" s="1" t="str">
        <f t="shared" ca="1" si="37"/>
        <v/>
      </c>
      <c r="Y177" s="3" t="str">
        <f t="shared" ca="1" si="38"/>
        <v/>
      </c>
    </row>
    <row r="178" spans="1:25" s="3" customFormat="1" x14ac:dyDescent="0.4">
      <c r="A178" s="34" t="str">
        <f t="shared" si="32"/>
        <v/>
      </c>
      <c r="B178" s="15"/>
      <c r="C178" s="16"/>
      <c r="D178" s="5"/>
      <c r="E178" s="5"/>
      <c r="F178" s="5"/>
      <c r="G178" s="5"/>
      <c r="H178" s="5"/>
      <c r="I178" s="17"/>
      <c r="J178" s="16"/>
      <c r="K178" s="5"/>
      <c r="L178" s="5"/>
      <c r="M178" s="5"/>
      <c r="N178" s="5"/>
      <c r="O178" s="5"/>
      <c r="P178" s="17"/>
      <c r="Q178" s="50"/>
      <c r="R178" s="6"/>
      <c r="S178" s="58"/>
      <c r="T178" s="63" t="str">
        <f t="shared" ca="1" si="33"/>
        <v/>
      </c>
      <c r="U178" s="3" t="str">
        <f t="shared" ca="1" si="34"/>
        <v/>
      </c>
      <c r="V178" s="3" t="str">
        <f t="shared" ca="1" si="35"/>
        <v/>
      </c>
      <c r="W178" s="1" t="str">
        <f t="shared" ca="1" si="36"/>
        <v/>
      </c>
      <c r="X178" s="1" t="str">
        <f t="shared" ca="1" si="37"/>
        <v/>
      </c>
      <c r="Y178" s="3" t="str">
        <f t="shared" ca="1" si="38"/>
        <v/>
      </c>
    </row>
    <row r="179" spans="1:25" s="3" customFormat="1" x14ac:dyDescent="0.4">
      <c r="A179" s="34" t="str">
        <f t="shared" si="32"/>
        <v/>
      </c>
      <c r="B179" s="15"/>
      <c r="C179" s="16"/>
      <c r="D179" s="5"/>
      <c r="E179" s="5"/>
      <c r="F179" s="5"/>
      <c r="G179" s="5"/>
      <c r="H179" s="5"/>
      <c r="I179" s="17"/>
      <c r="J179" s="16"/>
      <c r="K179" s="5"/>
      <c r="L179" s="5"/>
      <c r="M179" s="5"/>
      <c r="N179" s="5"/>
      <c r="O179" s="5"/>
      <c r="P179" s="17"/>
      <c r="Q179" s="50"/>
      <c r="R179" s="6"/>
      <c r="S179" s="58"/>
      <c r="T179" s="63" t="str">
        <f t="shared" ca="1" si="33"/>
        <v/>
      </c>
      <c r="U179" s="3" t="str">
        <f t="shared" ca="1" si="34"/>
        <v/>
      </c>
      <c r="V179" s="3" t="str">
        <f t="shared" ca="1" si="35"/>
        <v/>
      </c>
      <c r="W179" s="1" t="str">
        <f t="shared" ca="1" si="36"/>
        <v/>
      </c>
      <c r="X179" s="1" t="str">
        <f t="shared" ca="1" si="37"/>
        <v/>
      </c>
      <c r="Y179" s="3" t="str">
        <f t="shared" ca="1" si="38"/>
        <v/>
      </c>
    </row>
    <row r="180" spans="1:25" s="3" customFormat="1" x14ac:dyDescent="0.4">
      <c r="A180" s="34" t="str">
        <f t="shared" si="32"/>
        <v/>
      </c>
      <c r="B180" s="15"/>
      <c r="C180" s="16"/>
      <c r="D180" s="5"/>
      <c r="E180" s="5"/>
      <c r="F180" s="5"/>
      <c r="G180" s="5"/>
      <c r="H180" s="5"/>
      <c r="I180" s="17"/>
      <c r="J180" s="16"/>
      <c r="K180" s="5"/>
      <c r="L180" s="5"/>
      <c r="M180" s="5"/>
      <c r="N180" s="5"/>
      <c r="O180" s="5"/>
      <c r="P180" s="17"/>
      <c r="Q180" s="50"/>
      <c r="R180" s="6"/>
      <c r="S180" s="58"/>
      <c r="T180" s="63" t="str">
        <f t="shared" ca="1" si="33"/>
        <v/>
      </c>
      <c r="U180" s="3" t="str">
        <f t="shared" ca="1" si="34"/>
        <v/>
      </c>
      <c r="V180" s="3" t="str">
        <f t="shared" ca="1" si="35"/>
        <v/>
      </c>
      <c r="W180" s="1" t="str">
        <f t="shared" ca="1" si="36"/>
        <v/>
      </c>
      <c r="X180" s="1" t="str">
        <f t="shared" ca="1" si="37"/>
        <v/>
      </c>
      <c r="Y180" s="3" t="str">
        <f t="shared" ca="1" si="38"/>
        <v/>
      </c>
    </row>
    <row r="181" spans="1:25" s="3" customFormat="1" x14ac:dyDescent="0.4">
      <c r="A181" s="34" t="str">
        <f t="shared" si="32"/>
        <v/>
      </c>
      <c r="B181" s="15"/>
      <c r="C181" s="16"/>
      <c r="D181" s="5"/>
      <c r="E181" s="5"/>
      <c r="F181" s="5"/>
      <c r="G181" s="5"/>
      <c r="H181" s="5"/>
      <c r="I181" s="17"/>
      <c r="J181" s="16"/>
      <c r="K181" s="5"/>
      <c r="L181" s="5"/>
      <c r="M181" s="5"/>
      <c r="N181" s="5"/>
      <c r="O181" s="5"/>
      <c r="P181" s="17"/>
      <c r="Q181" s="50"/>
      <c r="R181" s="6"/>
      <c r="S181" s="58"/>
      <c r="T181" s="63" t="str">
        <f t="shared" ca="1" si="33"/>
        <v/>
      </c>
      <c r="U181" s="3" t="str">
        <f t="shared" ca="1" si="34"/>
        <v/>
      </c>
      <c r="V181" s="3" t="str">
        <f t="shared" ca="1" si="35"/>
        <v/>
      </c>
      <c r="W181" s="1" t="str">
        <f t="shared" ca="1" si="36"/>
        <v/>
      </c>
      <c r="X181" s="1" t="str">
        <f t="shared" ca="1" si="37"/>
        <v/>
      </c>
      <c r="Y181" s="3" t="str">
        <f t="shared" ca="1" si="38"/>
        <v/>
      </c>
    </row>
    <row r="182" spans="1:25" s="3" customFormat="1" x14ac:dyDescent="0.4">
      <c r="A182" s="34" t="str">
        <f t="shared" si="32"/>
        <v/>
      </c>
      <c r="B182" s="15"/>
      <c r="C182" s="16"/>
      <c r="D182" s="5"/>
      <c r="E182" s="5"/>
      <c r="F182" s="5"/>
      <c r="G182" s="5"/>
      <c r="H182" s="5"/>
      <c r="I182" s="17"/>
      <c r="J182" s="16"/>
      <c r="K182" s="5"/>
      <c r="L182" s="5"/>
      <c r="M182" s="5"/>
      <c r="N182" s="5"/>
      <c r="O182" s="5"/>
      <c r="P182" s="17"/>
      <c r="Q182" s="50"/>
      <c r="R182" s="6"/>
      <c r="S182" s="58"/>
      <c r="T182" s="63" t="str">
        <f t="shared" ca="1" si="33"/>
        <v/>
      </c>
      <c r="U182" s="3" t="str">
        <f t="shared" ca="1" si="34"/>
        <v/>
      </c>
      <c r="V182" s="3" t="str">
        <f t="shared" ca="1" si="35"/>
        <v/>
      </c>
      <c r="W182" s="1" t="str">
        <f t="shared" ca="1" si="36"/>
        <v/>
      </c>
      <c r="X182" s="1" t="str">
        <f t="shared" ca="1" si="37"/>
        <v/>
      </c>
      <c r="Y182" s="3" t="str">
        <f t="shared" ca="1" si="38"/>
        <v/>
      </c>
    </row>
    <row r="183" spans="1:25" s="3" customFormat="1" x14ac:dyDescent="0.4">
      <c r="A183" s="34" t="str">
        <f t="shared" si="32"/>
        <v/>
      </c>
      <c r="B183" s="15"/>
      <c r="C183" s="16"/>
      <c r="D183" s="5"/>
      <c r="E183" s="5"/>
      <c r="F183" s="5"/>
      <c r="G183" s="5"/>
      <c r="H183" s="5"/>
      <c r="I183" s="17"/>
      <c r="J183" s="16"/>
      <c r="K183" s="5"/>
      <c r="L183" s="5"/>
      <c r="M183" s="5"/>
      <c r="N183" s="5"/>
      <c r="O183" s="5"/>
      <c r="P183" s="17"/>
      <c r="Q183" s="50"/>
      <c r="R183" s="6"/>
      <c r="S183" s="58"/>
      <c r="T183" s="63" t="str">
        <f t="shared" ca="1" si="33"/>
        <v/>
      </c>
      <c r="U183" s="3" t="str">
        <f t="shared" ca="1" si="34"/>
        <v/>
      </c>
      <c r="V183" s="3" t="str">
        <f t="shared" ca="1" si="35"/>
        <v/>
      </c>
      <c r="W183" s="1" t="str">
        <f t="shared" ca="1" si="36"/>
        <v/>
      </c>
      <c r="X183" s="1" t="str">
        <f t="shared" ca="1" si="37"/>
        <v/>
      </c>
      <c r="Y183" s="3" t="str">
        <f t="shared" ca="1" si="38"/>
        <v/>
      </c>
    </row>
    <row r="184" spans="1:25" s="3" customFormat="1" x14ac:dyDescent="0.4">
      <c r="A184" s="34" t="str">
        <f t="shared" si="32"/>
        <v/>
      </c>
      <c r="B184" s="15"/>
      <c r="C184" s="16"/>
      <c r="D184" s="5"/>
      <c r="E184" s="5"/>
      <c r="F184" s="5"/>
      <c r="G184" s="5"/>
      <c r="H184" s="5"/>
      <c r="I184" s="17"/>
      <c r="J184" s="16"/>
      <c r="K184" s="5"/>
      <c r="L184" s="5"/>
      <c r="M184" s="5"/>
      <c r="N184" s="5"/>
      <c r="O184" s="5"/>
      <c r="P184" s="17"/>
      <c r="Q184" s="50"/>
      <c r="R184" s="6"/>
      <c r="S184" s="58"/>
      <c r="T184" s="63" t="str">
        <f t="shared" ca="1" si="33"/>
        <v/>
      </c>
      <c r="U184" s="3" t="str">
        <f t="shared" ca="1" si="34"/>
        <v/>
      </c>
      <c r="V184" s="3" t="str">
        <f t="shared" ca="1" si="35"/>
        <v/>
      </c>
      <c r="W184" s="1" t="str">
        <f t="shared" ca="1" si="36"/>
        <v/>
      </c>
      <c r="X184" s="1" t="str">
        <f t="shared" ca="1" si="37"/>
        <v/>
      </c>
      <c r="Y184" s="3" t="str">
        <f t="shared" ca="1" si="38"/>
        <v/>
      </c>
    </row>
    <row r="185" spans="1:25" s="3" customFormat="1" x14ac:dyDescent="0.4">
      <c r="A185" s="34" t="str">
        <f t="shared" si="32"/>
        <v/>
      </c>
      <c r="B185" s="15"/>
      <c r="C185" s="16"/>
      <c r="D185" s="5"/>
      <c r="E185" s="5"/>
      <c r="F185" s="5"/>
      <c r="G185" s="5"/>
      <c r="H185" s="5"/>
      <c r="I185" s="17"/>
      <c r="J185" s="16"/>
      <c r="K185" s="5"/>
      <c r="L185" s="5"/>
      <c r="M185" s="5"/>
      <c r="N185" s="5"/>
      <c r="O185" s="5"/>
      <c r="P185" s="17"/>
      <c r="Q185" s="50"/>
      <c r="R185" s="6"/>
      <c r="S185" s="58"/>
      <c r="T185" s="63" t="str">
        <f t="shared" ca="1" si="33"/>
        <v/>
      </c>
      <c r="U185" s="3" t="str">
        <f t="shared" ca="1" si="34"/>
        <v/>
      </c>
      <c r="V185" s="3" t="str">
        <f t="shared" ca="1" si="35"/>
        <v/>
      </c>
      <c r="W185" s="1" t="str">
        <f t="shared" ca="1" si="36"/>
        <v/>
      </c>
      <c r="X185" s="1" t="str">
        <f t="shared" ca="1" si="37"/>
        <v/>
      </c>
      <c r="Y185" s="3" t="str">
        <f t="shared" ca="1" si="38"/>
        <v/>
      </c>
    </row>
    <row r="186" spans="1:25" s="3" customFormat="1" x14ac:dyDescent="0.4">
      <c r="A186" s="34" t="str">
        <f t="shared" si="32"/>
        <v/>
      </c>
      <c r="B186" s="15"/>
      <c r="C186" s="16"/>
      <c r="D186" s="5"/>
      <c r="E186" s="5"/>
      <c r="F186" s="5"/>
      <c r="G186" s="5"/>
      <c r="H186" s="5"/>
      <c r="I186" s="17"/>
      <c r="J186" s="16"/>
      <c r="K186" s="5"/>
      <c r="L186" s="5"/>
      <c r="M186" s="5"/>
      <c r="N186" s="5"/>
      <c r="O186" s="5"/>
      <c r="P186" s="17"/>
      <c r="Q186" s="50"/>
      <c r="R186" s="6"/>
      <c r="S186" s="58"/>
      <c r="T186" s="63" t="str">
        <f t="shared" ca="1" si="33"/>
        <v/>
      </c>
      <c r="U186" s="3" t="str">
        <f t="shared" ca="1" si="34"/>
        <v/>
      </c>
      <c r="V186" s="3" t="str">
        <f t="shared" ca="1" si="35"/>
        <v/>
      </c>
      <c r="W186" s="1" t="str">
        <f t="shared" ca="1" si="36"/>
        <v/>
      </c>
      <c r="X186" s="1" t="str">
        <f t="shared" ca="1" si="37"/>
        <v/>
      </c>
      <c r="Y186" s="3" t="str">
        <f t="shared" ca="1" si="38"/>
        <v/>
      </c>
    </row>
    <row r="187" spans="1:25" s="3" customFormat="1" x14ac:dyDescent="0.4">
      <c r="A187" s="34" t="str">
        <f t="shared" si="32"/>
        <v/>
      </c>
      <c r="B187" s="15"/>
      <c r="C187" s="16"/>
      <c r="D187" s="5"/>
      <c r="E187" s="5"/>
      <c r="F187" s="5"/>
      <c r="G187" s="5"/>
      <c r="H187" s="5"/>
      <c r="I187" s="17"/>
      <c r="J187" s="16"/>
      <c r="K187" s="5"/>
      <c r="L187" s="5"/>
      <c r="M187" s="5"/>
      <c r="N187" s="5"/>
      <c r="O187" s="5"/>
      <c r="P187" s="17"/>
      <c r="Q187" s="50"/>
      <c r="R187" s="6"/>
      <c r="S187" s="58"/>
      <c r="T187" s="63" t="str">
        <f t="shared" ca="1" si="33"/>
        <v/>
      </c>
      <c r="U187" s="3" t="str">
        <f t="shared" ca="1" si="34"/>
        <v/>
      </c>
      <c r="V187" s="3" t="str">
        <f t="shared" ca="1" si="35"/>
        <v/>
      </c>
      <c r="W187" s="1" t="str">
        <f t="shared" ca="1" si="36"/>
        <v/>
      </c>
      <c r="X187" s="1" t="str">
        <f t="shared" ca="1" si="37"/>
        <v/>
      </c>
      <c r="Y187" s="3" t="str">
        <f t="shared" ca="1" si="38"/>
        <v/>
      </c>
    </row>
    <row r="188" spans="1:25" s="3" customFormat="1" x14ac:dyDescent="0.4">
      <c r="A188" s="34" t="str">
        <f t="shared" si="32"/>
        <v/>
      </c>
      <c r="B188" s="15"/>
      <c r="C188" s="16"/>
      <c r="D188" s="5"/>
      <c r="E188" s="5"/>
      <c r="F188" s="5"/>
      <c r="G188" s="5"/>
      <c r="H188" s="5"/>
      <c r="I188" s="17"/>
      <c r="J188" s="16"/>
      <c r="K188" s="5"/>
      <c r="L188" s="5"/>
      <c r="M188" s="5"/>
      <c r="N188" s="5"/>
      <c r="O188" s="5"/>
      <c r="P188" s="17"/>
      <c r="Q188" s="50"/>
      <c r="R188" s="6"/>
      <c r="S188" s="58"/>
      <c r="T188" s="63" t="str">
        <f t="shared" ca="1" si="33"/>
        <v/>
      </c>
      <c r="U188" s="3" t="str">
        <f t="shared" ca="1" si="34"/>
        <v/>
      </c>
      <c r="V188" s="3" t="str">
        <f t="shared" ca="1" si="35"/>
        <v/>
      </c>
      <c r="W188" s="1" t="str">
        <f t="shared" ca="1" si="36"/>
        <v/>
      </c>
      <c r="X188" s="1" t="str">
        <f t="shared" ca="1" si="37"/>
        <v/>
      </c>
      <c r="Y188" s="3" t="str">
        <f t="shared" ca="1" si="38"/>
        <v/>
      </c>
    </row>
    <row r="189" spans="1:25" s="3" customFormat="1" x14ac:dyDescent="0.4">
      <c r="A189" s="34" t="str">
        <f t="shared" si="32"/>
        <v/>
      </c>
      <c r="B189" s="15"/>
      <c r="C189" s="16"/>
      <c r="D189" s="5"/>
      <c r="E189" s="5"/>
      <c r="F189" s="5"/>
      <c r="G189" s="5"/>
      <c r="H189" s="5"/>
      <c r="I189" s="17"/>
      <c r="J189" s="16"/>
      <c r="K189" s="5"/>
      <c r="L189" s="5"/>
      <c r="M189" s="5"/>
      <c r="N189" s="5"/>
      <c r="O189" s="5"/>
      <c r="P189" s="17"/>
      <c r="Q189" s="50"/>
      <c r="R189" s="6"/>
      <c r="S189" s="58"/>
      <c r="T189" s="63" t="str">
        <f t="shared" ca="1" si="33"/>
        <v/>
      </c>
      <c r="U189" s="3" t="str">
        <f t="shared" ca="1" si="34"/>
        <v/>
      </c>
      <c r="V189" s="3" t="str">
        <f t="shared" ca="1" si="35"/>
        <v/>
      </c>
      <c r="W189" s="1" t="str">
        <f t="shared" ca="1" si="36"/>
        <v/>
      </c>
      <c r="X189" s="1" t="str">
        <f t="shared" ca="1" si="37"/>
        <v/>
      </c>
      <c r="Y189" s="3" t="str">
        <f t="shared" ca="1" si="38"/>
        <v/>
      </c>
    </row>
    <row r="190" spans="1:25" s="3" customFormat="1" x14ac:dyDescent="0.4">
      <c r="A190" s="34" t="str">
        <f t="shared" si="32"/>
        <v/>
      </c>
      <c r="B190" s="15"/>
      <c r="C190" s="16"/>
      <c r="D190" s="5"/>
      <c r="E190" s="5"/>
      <c r="F190" s="5"/>
      <c r="G190" s="5"/>
      <c r="H190" s="5"/>
      <c r="I190" s="17"/>
      <c r="J190" s="16"/>
      <c r="K190" s="5"/>
      <c r="L190" s="5"/>
      <c r="M190" s="5"/>
      <c r="N190" s="5"/>
      <c r="O190" s="5"/>
      <c r="P190" s="17"/>
      <c r="Q190" s="50"/>
      <c r="R190" s="6"/>
      <c r="S190" s="58"/>
      <c r="T190" s="63" t="str">
        <f t="shared" ca="1" si="33"/>
        <v/>
      </c>
      <c r="U190" s="3" t="str">
        <f t="shared" ca="1" si="34"/>
        <v/>
      </c>
      <c r="V190" s="3" t="str">
        <f t="shared" ca="1" si="35"/>
        <v/>
      </c>
      <c r="W190" s="1" t="str">
        <f t="shared" ca="1" si="36"/>
        <v/>
      </c>
      <c r="X190" s="1" t="str">
        <f t="shared" ca="1" si="37"/>
        <v/>
      </c>
      <c r="Y190" s="3" t="str">
        <f t="shared" ca="1" si="38"/>
        <v/>
      </c>
    </row>
    <row r="191" spans="1:25" s="3" customFormat="1" x14ac:dyDescent="0.4">
      <c r="A191" s="34" t="str">
        <f t="shared" si="32"/>
        <v/>
      </c>
      <c r="B191" s="15"/>
      <c r="C191" s="16"/>
      <c r="D191" s="5"/>
      <c r="E191" s="5"/>
      <c r="F191" s="5"/>
      <c r="G191" s="5"/>
      <c r="H191" s="5"/>
      <c r="I191" s="17"/>
      <c r="J191" s="16"/>
      <c r="K191" s="5"/>
      <c r="L191" s="5"/>
      <c r="M191" s="5"/>
      <c r="N191" s="5"/>
      <c r="O191" s="5"/>
      <c r="P191" s="17"/>
      <c r="Q191" s="50"/>
      <c r="R191" s="6"/>
      <c r="S191" s="58"/>
      <c r="T191" s="63" t="str">
        <f t="shared" ca="1" si="33"/>
        <v/>
      </c>
      <c r="U191" s="3" t="str">
        <f t="shared" ca="1" si="34"/>
        <v/>
      </c>
      <c r="V191" s="3" t="str">
        <f t="shared" ca="1" si="35"/>
        <v/>
      </c>
      <c r="W191" s="1" t="str">
        <f t="shared" ca="1" si="36"/>
        <v/>
      </c>
      <c r="X191" s="1" t="str">
        <f t="shared" ca="1" si="37"/>
        <v/>
      </c>
      <c r="Y191" s="3" t="str">
        <f t="shared" ca="1" si="38"/>
        <v/>
      </c>
    </row>
    <row r="192" spans="1:25" s="3" customFormat="1" x14ac:dyDescent="0.4">
      <c r="A192" s="34" t="str">
        <f t="shared" si="32"/>
        <v/>
      </c>
      <c r="B192" s="15"/>
      <c r="C192" s="16"/>
      <c r="D192" s="5"/>
      <c r="E192" s="5"/>
      <c r="F192" s="5"/>
      <c r="G192" s="5"/>
      <c r="H192" s="5"/>
      <c r="I192" s="17"/>
      <c r="J192" s="16"/>
      <c r="K192" s="5"/>
      <c r="L192" s="5"/>
      <c r="M192" s="5"/>
      <c r="N192" s="5"/>
      <c r="O192" s="5"/>
      <c r="P192" s="17"/>
      <c r="Q192" s="50"/>
      <c r="R192" s="6"/>
      <c r="S192" s="58"/>
      <c r="T192" s="63" t="str">
        <f t="shared" ca="1" si="33"/>
        <v/>
      </c>
      <c r="U192" s="3" t="str">
        <f t="shared" ca="1" si="34"/>
        <v/>
      </c>
      <c r="V192" s="3" t="str">
        <f t="shared" ca="1" si="35"/>
        <v/>
      </c>
      <c r="W192" s="1" t="str">
        <f t="shared" ca="1" si="36"/>
        <v/>
      </c>
      <c r="X192" s="1" t="str">
        <f t="shared" ca="1" si="37"/>
        <v/>
      </c>
      <c r="Y192" s="3" t="str">
        <f t="shared" ca="1" si="38"/>
        <v/>
      </c>
    </row>
    <row r="193" spans="1:25" s="3" customFormat="1" x14ac:dyDescent="0.4">
      <c r="A193" s="34" t="str">
        <f t="shared" si="32"/>
        <v/>
      </c>
      <c r="B193" s="15"/>
      <c r="C193" s="16"/>
      <c r="D193" s="5"/>
      <c r="E193" s="5"/>
      <c r="F193" s="5"/>
      <c r="G193" s="5"/>
      <c r="H193" s="5"/>
      <c r="I193" s="17"/>
      <c r="J193" s="16"/>
      <c r="K193" s="5"/>
      <c r="L193" s="5"/>
      <c r="M193" s="5"/>
      <c r="N193" s="5"/>
      <c r="O193" s="5"/>
      <c r="P193" s="17"/>
      <c r="Q193" s="50"/>
      <c r="R193" s="6"/>
      <c r="S193" s="58"/>
      <c r="T193" s="63" t="str">
        <f t="shared" ca="1" si="33"/>
        <v/>
      </c>
      <c r="U193" s="3" t="str">
        <f t="shared" ca="1" si="34"/>
        <v/>
      </c>
      <c r="V193" s="3" t="str">
        <f t="shared" ca="1" si="35"/>
        <v/>
      </c>
      <c r="W193" s="1" t="str">
        <f t="shared" ca="1" si="36"/>
        <v/>
      </c>
      <c r="X193" s="1" t="str">
        <f t="shared" ca="1" si="37"/>
        <v/>
      </c>
      <c r="Y193" s="3" t="str">
        <f t="shared" ca="1" si="38"/>
        <v/>
      </c>
    </row>
    <row r="194" spans="1:25" s="3" customFormat="1" x14ac:dyDescent="0.4">
      <c r="A194" s="34" t="str">
        <f t="shared" si="32"/>
        <v/>
      </c>
      <c r="B194" s="15"/>
      <c r="C194" s="16"/>
      <c r="D194" s="5"/>
      <c r="E194" s="5"/>
      <c r="F194" s="5"/>
      <c r="G194" s="5"/>
      <c r="H194" s="5"/>
      <c r="I194" s="17"/>
      <c r="J194" s="16"/>
      <c r="K194" s="5"/>
      <c r="L194" s="5"/>
      <c r="M194" s="5"/>
      <c r="N194" s="5"/>
      <c r="O194" s="5"/>
      <c r="P194" s="17"/>
      <c r="Q194" s="50"/>
      <c r="R194" s="6"/>
      <c r="S194" s="58"/>
      <c r="T194" s="63" t="str">
        <f t="shared" ca="1" si="33"/>
        <v/>
      </c>
      <c r="U194" s="3" t="str">
        <f t="shared" ca="1" si="34"/>
        <v/>
      </c>
      <c r="V194" s="3" t="str">
        <f t="shared" ca="1" si="35"/>
        <v/>
      </c>
      <c r="W194" s="1" t="str">
        <f t="shared" ca="1" si="36"/>
        <v/>
      </c>
      <c r="X194" s="1" t="str">
        <f t="shared" ca="1" si="37"/>
        <v/>
      </c>
      <c r="Y194" s="3" t="str">
        <f t="shared" ca="1" si="38"/>
        <v/>
      </c>
    </row>
    <row r="195" spans="1:25" s="3" customFormat="1" x14ac:dyDescent="0.4">
      <c r="A195" s="34" t="str">
        <f t="shared" si="32"/>
        <v/>
      </c>
      <c r="B195" s="15"/>
      <c r="C195" s="16"/>
      <c r="D195" s="5"/>
      <c r="E195" s="5"/>
      <c r="F195" s="5"/>
      <c r="G195" s="5"/>
      <c r="H195" s="5"/>
      <c r="I195" s="17"/>
      <c r="J195" s="16"/>
      <c r="K195" s="5"/>
      <c r="L195" s="5"/>
      <c r="M195" s="5"/>
      <c r="N195" s="5"/>
      <c r="O195" s="5"/>
      <c r="P195" s="17"/>
      <c r="Q195" s="50"/>
      <c r="R195" s="6"/>
      <c r="S195" s="58"/>
      <c r="T195" s="63" t="str">
        <f t="shared" ca="1" si="33"/>
        <v/>
      </c>
      <c r="U195" s="3" t="str">
        <f t="shared" ca="1" si="34"/>
        <v/>
      </c>
      <c r="V195" s="3" t="str">
        <f t="shared" ca="1" si="35"/>
        <v/>
      </c>
      <c r="W195" s="1" t="str">
        <f t="shared" ca="1" si="36"/>
        <v/>
      </c>
      <c r="X195" s="1" t="str">
        <f t="shared" ca="1" si="37"/>
        <v/>
      </c>
      <c r="Y195" s="3" t="str">
        <f t="shared" ca="1" si="38"/>
        <v/>
      </c>
    </row>
    <row r="196" spans="1:25" s="3" customFormat="1" x14ac:dyDescent="0.4">
      <c r="A196" s="34" t="str">
        <f t="shared" si="32"/>
        <v/>
      </c>
      <c r="B196" s="15"/>
      <c r="C196" s="16"/>
      <c r="D196" s="5"/>
      <c r="E196" s="5"/>
      <c r="F196" s="5"/>
      <c r="G196" s="5"/>
      <c r="H196" s="5"/>
      <c r="I196" s="17"/>
      <c r="J196" s="16"/>
      <c r="K196" s="5"/>
      <c r="L196" s="5"/>
      <c r="M196" s="5"/>
      <c r="N196" s="5"/>
      <c r="O196" s="5"/>
      <c r="P196" s="17"/>
      <c r="Q196" s="50"/>
      <c r="R196" s="6"/>
      <c r="S196" s="58"/>
      <c r="T196" s="63" t="str">
        <f t="shared" ca="1" si="33"/>
        <v/>
      </c>
      <c r="U196" s="3" t="str">
        <f t="shared" ca="1" si="34"/>
        <v/>
      </c>
      <c r="V196" s="3" t="str">
        <f t="shared" ca="1" si="35"/>
        <v/>
      </c>
      <c r="W196" s="1" t="str">
        <f t="shared" ca="1" si="36"/>
        <v/>
      </c>
      <c r="X196" s="1" t="str">
        <f t="shared" ca="1" si="37"/>
        <v/>
      </c>
      <c r="Y196" s="3" t="str">
        <f t="shared" ca="1" si="38"/>
        <v/>
      </c>
    </row>
    <row r="197" spans="1:25" s="3" customFormat="1" x14ac:dyDescent="0.4">
      <c r="A197" s="34" t="str">
        <f t="shared" si="32"/>
        <v/>
      </c>
      <c r="B197" s="15"/>
      <c r="C197" s="16"/>
      <c r="D197" s="5"/>
      <c r="E197" s="5"/>
      <c r="F197" s="5"/>
      <c r="G197" s="5"/>
      <c r="H197" s="5"/>
      <c r="I197" s="17"/>
      <c r="J197" s="16"/>
      <c r="K197" s="5"/>
      <c r="L197" s="5"/>
      <c r="M197" s="5"/>
      <c r="N197" s="5"/>
      <c r="O197" s="5"/>
      <c r="P197" s="17"/>
      <c r="Q197" s="50"/>
      <c r="R197" s="6"/>
      <c r="S197" s="58"/>
      <c r="T197" s="63" t="str">
        <f t="shared" ref="T197:T204" ca="1" si="39">IF(ISNA(VLOOKUP(E197,地址類別Mapping,2,FALSE)),"",VLOOKUP(E197,地址類別Mapping,2,FALSE))</f>
        <v/>
      </c>
      <c r="U197" s="3" t="str">
        <f t="shared" ref="U197:U204" ca="1" si="40">IF(ISNA(VLOOKUP(F197&amp;"-"&amp;G197,郵遞區號,2,FALSE)),"",VLOOKUP(F197&amp;"-"&amp;G197,郵遞區號,2,FALSE))</f>
        <v/>
      </c>
      <c r="V197" s="3" t="str">
        <f t="shared" ref="V197:V204" ca="1" si="41">IF(ISNA(VLOOKUP(M197&amp;"-"&amp;N197,郵遞區號,2,FALSE)),"",VLOOKUP(M197&amp;"-"&amp;N197,郵遞區號,2,FALSE))</f>
        <v/>
      </c>
      <c r="W197" s="1" t="str">
        <f t="shared" ref="W197:W204" ca="1" si="42">IF(ISNA(VLOOKUP(B197,郵件種類MAPPING,2,FALSE)),"",VLOOKUP(B197,郵件種類MAPPING,2,FALSE))</f>
        <v/>
      </c>
      <c r="X197" s="1" t="str">
        <f t="shared" ref="X197:X204" ca="1" si="43">IF(ISNA(VLOOKUP(R197,箱袋種類Mapping,2,FALSE)),"",VLOOKUP(R197,箱袋種類Mapping,2,FALSE))</f>
        <v/>
      </c>
      <c r="Y197" s="3" t="str">
        <f t="shared" ref="Y197:Y204" ca="1" si="44">IF(ISNA(VLOOKUP(B197,郵件種類MAPPING,2,FALSE)),"","203")</f>
        <v/>
      </c>
    </row>
    <row r="198" spans="1:25" s="3" customFormat="1" x14ac:dyDescent="0.4">
      <c r="A198" s="34" t="str">
        <f t="shared" ref="A198:A204" si="45">IF(NOT(COUNTA(B198:I198)),"",ROW()-4)</f>
        <v/>
      </c>
      <c r="B198" s="15"/>
      <c r="C198" s="16"/>
      <c r="D198" s="5"/>
      <c r="E198" s="5"/>
      <c r="F198" s="5"/>
      <c r="G198" s="5"/>
      <c r="H198" s="5"/>
      <c r="I198" s="17"/>
      <c r="J198" s="16"/>
      <c r="K198" s="5"/>
      <c r="L198" s="5"/>
      <c r="M198" s="5"/>
      <c r="N198" s="5"/>
      <c r="O198" s="5"/>
      <c r="P198" s="17"/>
      <c r="Q198" s="50"/>
      <c r="R198" s="6"/>
      <c r="S198" s="58"/>
      <c r="T198" s="63" t="str">
        <f t="shared" ca="1" si="39"/>
        <v/>
      </c>
      <c r="U198" s="3" t="str">
        <f t="shared" ca="1" si="40"/>
        <v/>
      </c>
      <c r="V198" s="3" t="str">
        <f t="shared" ca="1" si="41"/>
        <v/>
      </c>
      <c r="W198" s="1" t="str">
        <f t="shared" ca="1" si="42"/>
        <v/>
      </c>
      <c r="X198" s="1" t="str">
        <f t="shared" ca="1" si="43"/>
        <v/>
      </c>
      <c r="Y198" s="3" t="str">
        <f t="shared" ca="1" si="44"/>
        <v/>
      </c>
    </row>
    <row r="199" spans="1:25" s="3" customFormat="1" x14ac:dyDescent="0.4">
      <c r="A199" s="34" t="str">
        <f t="shared" si="45"/>
        <v/>
      </c>
      <c r="B199" s="15"/>
      <c r="C199" s="16"/>
      <c r="D199" s="5"/>
      <c r="E199" s="5"/>
      <c r="F199" s="5"/>
      <c r="G199" s="5"/>
      <c r="H199" s="5"/>
      <c r="I199" s="17"/>
      <c r="J199" s="16"/>
      <c r="K199" s="5"/>
      <c r="L199" s="5"/>
      <c r="M199" s="5"/>
      <c r="N199" s="5"/>
      <c r="O199" s="5"/>
      <c r="P199" s="17"/>
      <c r="Q199" s="50"/>
      <c r="R199" s="6"/>
      <c r="S199" s="58"/>
      <c r="T199" s="63" t="str">
        <f t="shared" ca="1" si="39"/>
        <v/>
      </c>
      <c r="U199" s="3" t="str">
        <f t="shared" ca="1" si="40"/>
        <v/>
      </c>
      <c r="V199" s="3" t="str">
        <f t="shared" ca="1" si="41"/>
        <v/>
      </c>
      <c r="W199" s="1" t="str">
        <f t="shared" ca="1" si="42"/>
        <v/>
      </c>
      <c r="X199" s="1" t="str">
        <f t="shared" ca="1" si="43"/>
        <v/>
      </c>
      <c r="Y199" s="3" t="str">
        <f t="shared" ca="1" si="44"/>
        <v/>
      </c>
    </row>
    <row r="200" spans="1:25" s="3" customFormat="1" x14ac:dyDescent="0.4">
      <c r="A200" s="34" t="str">
        <f t="shared" si="45"/>
        <v/>
      </c>
      <c r="B200" s="15"/>
      <c r="C200" s="16"/>
      <c r="D200" s="5"/>
      <c r="E200" s="5"/>
      <c r="F200" s="5"/>
      <c r="G200" s="5"/>
      <c r="H200" s="5"/>
      <c r="I200" s="17"/>
      <c r="J200" s="16"/>
      <c r="K200" s="5"/>
      <c r="L200" s="5"/>
      <c r="M200" s="5"/>
      <c r="N200" s="5"/>
      <c r="O200" s="5"/>
      <c r="P200" s="17"/>
      <c r="Q200" s="50"/>
      <c r="R200" s="6"/>
      <c r="S200" s="58"/>
      <c r="T200" s="63" t="str">
        <f t="shared" ca="1" si="39"/>
        <v/>
      </c>
      <c r="U200" s="3" t="str">
        <f t="shared" ca="1" si="40"/>
        <v/>
      </c>
      <c r="V200" s="3" t="str">
        <f t="shared" ca="1" si="41"/>
        <v/>
      </c>
      <c r="W200" s="1" t="str">
        <f t="shared" ca="1" si="42"/>
        <v/>
      </c>
      <c r="X200" s="1" t="str">
        <f t="shared" ca="1" si="43"/>
        <v/>
      </c>
      <c r="Y200" s="3" t="str">
        <f t="shared" ca="1" si="44"/>
        <v/>
      </c>
    </row>
    <row r="201" spans="1:25" s="3" customFormat="1" x14ac:dyDescent="0.4">
      <c r="A201" s="34" t="str">
        <f t="shared" si="45"/>
        <v/>
      </c>
      <c r="B201" s="15"/>
      <c r="C201" s="16"/>
      <c r="D201" s="5"/>
      <c r="E201" s="5"/>
      <c r="F201" s="5"/>
      <c r="G201" s="5"/>
      <c r="H201" s="5"/>
      <c r="I201" s="17"/>
      <c r="J201" s="16"/>
      <c r="K201" s="5"/>
      <c r="L201" s="5"/>
      <c r="M201" s="5"/>
      <c r="N201" s="5"/>
      <c r="O201" s="5"/>
      <c r="P201" s="17"/>
      <c r="Q201" s="50"/>
      <c r="R201" s="6"/>
      <c r="S201" s="58"/>
      <c r="T201" s="63" t="str">
        <f t="shared" ca="1" si="39"/>
        <v/>
      </c>
      <c r="U201" s="3" t="str">
        <f t="shared" ca="1" si="40"/>
        <v/>
      </c>
      <c r="V201" s="3" t="str">
        <f t="shared" ca="1" si="41"/>
        <v/>
      </c>
      <c r="W201" s="1" t="str">
        <f t="shared" ca="1" si="42"/>
        <v/>
      </c>
      <c r="X201" s="1" t="str">
        <f t="shared" ca="1" si="43"/>
        <v/>
      </c>
      <c r="Y201" s="3" t="str">
        <f t="shared" ca="1" si="44"/>
        <v/>
      </c>
    </row>
    <row r="202" spans="1:25" s="3" customFormat="1" x14ac:dyDescent="0.4">
      <c r="A202" s="34" t="str">
        <f t="shared" si="45"/>
        <v/>
      </c>
      <c r="B202" s="15"/>
      <c r="C202" s="16"/>
      <c r="D202" s="5"/>
      <c r="E202" s="5"/>
      <c r="F202" s="5"/>
      <c r="G202" s="5"/>
      <c r="H202" s="5"/>
      <c r="I202" s="17"/>
      <c r="J202" s="16"/>
      <c r="K202" s="5"/>
      <c r="L202" s="5"/>
      <c r="M202" s="5"/>
      <c r="N202" s="5"/>
      <c r="O202" s="5"/>
      <c r="P202" s="17"/>
      <c r="Q202" s="50"/>
      <c r="R202" s="6"/>
      <c r="S202" s="58"/>
      <c r="T202" s="63" t="str">
        <f t="shared" ca="1" si="39"/>
        <v/>
      </c>
      <c r="U202" s="3" t="str">
        <f t="shared" ca="1" si="40"/>
        <v/>
      </c>
      <c r="V202" s="3" t="str">
        <f t="shared" ca="1" si="41"/>
        <v/>
      </c>
      <c r="W202" s="1" t="str">
        <f t="shared" ca="1" si="42"/>
        <v/>
      </c>
      <c r="X202" s="1" t="str">
        <f t="shared" ca="1" si="43"/>
        <v/>
      </c>
      <c r="Y202" s="3" t="str">
        <f t="shared" ca="1" si="44"/>
        <v/>
      </c>
    </row>
    <row r="203" spans="1:25" s="3" customFormat="1" x14ac:dyDescent="0.4">
      <c r="A203" s="34" t="str">
        <f t="shared" si="45"/>
        <v/>
      </c>
      <c r="B203" s="15"/>
      <c r="C203" s="16"/>
      <c r="D203" s="5"/>
      <c r="E203" s="5"/>
      <c r="F203" s="5"/>
      <c r="G203" s="5"/>
      <c r="H203" s="5"/>
      <c r="I203" s="17"/>
      <c r="J203" s="16"/>
      <c r="K203" s="5"/>
      <c r="L203" s="5"/>
      <c r="M203" s="5"/>
      <c r="N203" s="5"/>
      <c r="O203" s="5"/>
      <c r="P203" s="17"/>
      <c r="Q203" s="50"/>
      <c r="R203" s="6"/>
      <c r="S203" s="58"/>
      <c r="T203" s="63" t="str">
        <f t="shared" ca="1" si="39"/>
        <v/>
      </c>
      <c r="U203" s="3" t="str">
        <f t="shared" ca="1" si="40"/>
        <v/>
      </c>
      <c r="V203" s="3" t="str">
        <f t="shared" ca="1" si="41"/>
        <v/>
      </c>
      <c r="W203" s="1" t="str">
        <f t="shared" ca="1" si="42"/>
        <v/>
      </c>
      <c r="X203" s="1" t="str">
        <f t="shared" ca="1" si="43"/>
        <v/>
      </c>
      <c r="Y203" s="3" t="str">
        <f t="shared" ca="1" si="44"/>
        <v/>
      </c>
    </row>
    <row r="204" spans="1:25" s="3" customFormat="1" ht="17.5" thickBot="1" x14ac:dyDescent="0.45">
      <c r="A204" s="34" t="str">
        <f t="shared" si="45"/>
        <v/>
      </c>
      <c r="B204" s="35"/>
      <c r="C204" s="18"/>
      <c r="D204" s="19"/>
      <c r="E204" s="19"/>
      <c r="F204" s="19"/>
      <c r="G204" s="19"/>
      <c r="H204" s="19"/>
      <c r="I204" s="20"/>
      <c r="J204" s="18"/>
      <c r="K204" s="19"/>
      <c r="L204" s="19"/>
      <c r="M204" s="19"/>
      <c r="N204" s="19"/>
      <c r="O204" s="19"/>
      <c r="P204" s="20"/>
      <c r="Q204" s="51"/>
      <c r="R204" s="36"/>
      <c r="S204" s="56"/>
      <c r="T204" s="63" t="str">
        <f t="shared" ca="1" si="39"/>
        <v/>
      </c>
      <c r="U204" s="3" t="str">
        <f t="shared" ca="1" si="40"/>
        <v/>
      </c>
      <c r="V204" s="3" t="str">
        <f t="shared" ca="1" si="41"/>
        <v/>
      </c>
      <c r="W204" s="1" t="str">
        <f t="shared" ca="1" si="42"/>
        <v/>
      </c>
      <c r="X204" s="1" t="str">
        <f t="shared" ca="1" si="43"/>
        <v/>
      </c>
      <c r="Y204" s="3" t="str">
        <f t="shared" ca="1" si="44"/>
        <v/>
      </c>
    </row>
    <row r="205" spans="1:25" x14ac:dyDescent="0.4">
      <c r="T205" s="62"/>
    </row>
  </sheetData>
  <sheetProtection algorithmName="SHA-512" hashValue="g6BN/Aw3lRjQmoD0zBGP079dp1kESMrsrX6gWuqO6SApMfDv+TLV1Mu3WCEyu84WUah0dzy+5D9QoIIcv2DReg==" saltValue="2TZuwIIrjTL2I7YXqVXOcQ==" spinCount="100000" sheet="1" objects="1" scenarios="1"/>
  <mergeCells count="1">
    <mergeCell ref="A2:S2"/>
  </mergeCells>
  <phoneticPr fontId="2" type="noConversion"/>
  <dataValidations count="7">
    <dataValidation type="list" allowBlank="1" showInputMessage="1" showErrorMessage="1" sqref="F5:F204 M5:M204" xr:uid="{2A1D9A37-D8B1-4A58-9454-CA34FE1D15F0}">
      <formula1>縣市</formula1>
    </dataValidation>
    <dataValidation type="list" allowBlank="1" showInputMessage="1" showErrorMessage="1" sqref="G5:G204" xr:uid="{5FC2D3D4-26E0-4F61-8285-37C40CB9007B}">
      <formula1>INDIRECT($F5)</formula1>
    </dataValidation>
    <dataValidation type="whole" allowBlank="1" showInputMessage="1" showErrorMessage="1" sqref="S5:S204" xr:uid="{AC0A7016-1874-4446-B140-C78B4D6DB97F}">
      <formula1>0</formula1>
      <formula2>50000</formula2>
    </dataValidation>
    <dataValidation type="list" allowBlank="1" showInputMessage="1" showErrorMessage="1" sqref="E5:E204" xr:uid="{9BA875C2-546B-4E3C-812C-395829BA0F64}">
      <formula1>地址類別</formula1>
    </dataValidation>
    <dataValidation type="list" allowBlank="1" showInputMessage="1" showErrorMessage="1" sqref="B5:B204" xr:uid="{010A7DC0-1C50-458B-85A9-DBB247D6623A}">
      <formula1>郵件種類</formula1>
    </dataValidation>
    <dataValidation type="list" allowBlank="1" showInputMessage="1" showErrorMessage="1" sqref="R5:R204" xr:uid="{1B856FBA-F334-47BC-9342-086DFB98C1F6}">
      <formula1>箱袋種類</formula1>
    </dataValidation>
    <dataValidation type="list" allowBlank="1" showInputMessage="1" showErrorMessage="1" sqref="N5:N204" xr:uid="{284B4AE7-B564-46DA-9B33-3B5C74992867}">
      <formula1>INDIRECT($M5)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DCC87-0DB8-42EE-B180-A2ACE1D32379}">
  <dimension ref="A1:Y205"/>
  <sheetViews>
    <sheetView workbookViewId="0">
      <pane ySplit="4" topLeftCell="A5" activePane="bottomLeft" state="frozen"/>
      <selection activeCell="A2" sqref="A2"/>
      <selection pane="bottomLeft" activeCell="B5" sqref="B5"/>
    </sheetView>
  </sheetViews>
  <sheetFormatPr defaultColWidth="9" defaultRowHeight="17" zeroHeight="1" x14ac:dyDescent="0.4"/>
  <cols>
    <col min="1" max="1" width="5.453125" customWidth="1"/>
    <col min="2" max="2" width="15.08984375" customWidth="1"/>
    <col min="3" max="3" width="13.36328125" customWidth="1"/>
    <col min="4" max="4" width="9.90625" customWidth="1"/>
    <col min="5" max="5" width="10.6328125" customWidth="1"/>
    <col min="6" max="7" width="9.453125" customWidth="1"/>
    <col min="8" max="8" width="13.90625" customWidth="1"/>
    <col min="9" max="9" width="26.6328125" customWidth="1"/>
    <col min="10" max="10" width="17.08984375" customWidth="1"/>
    <col min="11" max="11" width="10.453125" customWidth="1"/>
    <col min="12" max="12" width="11.08984375" customWidth="1"/>
    <col min="13" max="13" width="9.453125" customWidth="1"/>
    <col min="14" max="14" width="11" customWidth="1"/>
    <col min="15" max="15" width="9" customWidth="1"/>
    <col min="16" max="16" width="11.90625" customWidth="1"/>
    <col min="17" max="17" width="7.453125" style="52" customWidth="1"/>
    <col min="18" max="18" width="42.6328125" customWidth="1"/>
    <col min="19" max="19" width="11" customWidth="1"/>
    <col min="20" max="20" width="19.08984375" style="61" hidden="1" customWidth="1"/>
    <col min="21" max="21" width="17.08984375" hidden="1" customWidth="1"/>
    <col min="22" max="22" width="16.90625" hidden="1" customWidth="1"/>
    <col min="23" max="23" width="16.08984375" hidden="1" customWidth="1"/>
    <col min="24" max="24" width="22.08984375" hidden="1" customWidth="1"/>
    <col min="25" max="25" width="9" hidden="1" customWidth="1"/>
  </cols>
  <sheetData>
    <row r="1" spans="1:25" s="3" customFormat="1" ht="37" hidden="1" customHeight="1" x14ac:dyDescent="0.4">
      <c r="A1" s="7" t="s">
        <v>8</v>
      </c>
      <c r="B1" s="1" t="s">
        <v>821</v>
      </c>
      <c r="C1" s="1" t="s">
        <v>409</v>
      </c>
      <c r="D1" s="1" t="s">
        <v>929</v>
      </c>
      <c r="E1" s="1" t="s">
        <v>930</v>
      </c>
      <c r="F1" s="89" t="s">
        <v>798</v>
      </c>
      <c r="G1" s="90"/>
      <c r="H1" s="90"/>
      <c r="I1" s="91"/>
      <c r="J1" s="1" t="s">
        <v>830</v>
      </c>
      <c r="K1" s="1" t="s">
        <v>831</v>
      </c>
      <c r="L1" s="1" t="s">
        <v>842</v>
      </c>
      <c r="M1" s="89" t="s">
        <v>834</v>
      </c>
      <c r="N1" s="90"/>
      <c r="O1" s="91"/>
      <c r="P1" s="1" t="s">
        <v>835</v>
      </c>
      <c r="Q1" s="46" t="s">
        <v>5</v>
      </c>
      <c r="R1" s="2" t="s">
        <v>824</v>
      </c>
      <c r="S1" s="1" t="s">
        <v>802</v>
      </c>
      <c r="T1" s="3" t="s">
        <v>412</v>
      </c>
      <c r="U1" s="3" t="s">
        <v>797</v>
      </c>
      <c r="V1" s="3" t="s">
        <v>796</v>
      </c>
      <c r="W1" s="1" t="s">
        <v>807</v>
      </c>
      <c r="X1" s="3" t="s">
        <v>825</v>
      </c>
      <c r="Y1" s="3" t="s">
        <v>931</v>
      </c>
    </row>
    <row r="2" spans="1:25" s="3" customFormat="1" ht="112.5" customHeight="1" x14ac:dyDescent="0.4">
      <c r="A2" s="70" t="s">
        <v>924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2"/>
      <c r="W2" s="1"/>
    </row>
    <row r="3" spans="1:25" s="3" customFormat="1" ht="11.25" customHeight="1" thickBot="1" x14ac:dyDescent="0.4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8"/>
      <c r="P3" s="39"/>
      <c r="Q3" s="47"/>
      <c r="R3" s="40"/>
      <c r="S3" s="38"/>
      <c r="W3" s="1"/>
    </row>
    <row r="4" spans="1:25" s="4" customFormat="1" ht="70.5" customHeight="1" thickBot="1" x14ac:dyDescent="0.45">
      <c r="A4" s="26" t="s">
        <v>6</v>
      </c>
      <c r="B4" s="27" t="s">
        <v>805</v>
      </c>
      <c r="C4" s="28" t="s">
        <v>7</v>
      </c>
      <c r="D4" s="29" t="s">
        <v>15</v>
      </c>
      <c r="E4" s="29" t="s">
        <v>928</v>
      </c>
      <c r="F4" s="73" t="s">
        <v>926</v>
      </c>
      <c r="G4" s="74"/>
      <c r="H4" s="74"/>
      <c r="I4" s="75"/>
      <c r="J4" s="31" t="s">
        <v>836</v>
      </c>
      <c r="K4" s="32" t="s">
        <v>837</v>
      </c>
      <c r="L4" s="32" t="s">
        <v>838</v>
      </c>
      <c r="M4" s="73" t="s">
        <v>927</v>
      </c>
      <c r="N4" s="74"/>
      <c r="O4" s="85"/>
      <c r="P4" s="33" t="s">
        <v>844</v>
      </c>
      <c r="Q4" s="48" t="s">
        <v>1</v>
      </c>
      <c r="R4" s="45" t="s">
        <v>896</v>
      </c>
      <c r="S4" s="55" t="s">
        <v>843</v>
      </c>
      <c r="T4" s="60" t="s">
        <v>418</v>
      </c>
      <c r="U4" s="12" t="s">
        <v>419</v>
      </c>
      <c r="V4" s="12" t="s">
        <v>420</v>
      </c>
      <c r="W4" s="11" t="s">
        <v>805</v>
      </c>
      <c r="X4" s="13" t="s">
        <v>806</v>
      </c>
      <c r="Y4" s="11" t="s">
        <v>808</v>
      </c>
    </row>
    <row r="5" spans="1:25" s="3" customFormat="1" x14ac:dyDescent="0.4">
      <c r="A5" s="34" t="str">
        <f>IF(NOT(COUNTA(B5:I5)),"",ROW()-4)</f>
        <v/>
      </c>
      <c r="B5" s="21"/>
      <c r="C5" s="22"/>
      <c r="D5" s="23"/>
      <c r="E5" s="23"/>
      <c r="F5" s="76"/>
      <c r="G5" s="77"/>
      <c r="H5" s="77"/>
      <c r="I5" s="78"/>
      <c r="J5" s="22"/>
      <c r="K5" s="23"/>
      <c r="L5" s="23"/>
      <c r="M5" s="86"/>
      <c r="N5" s="87"/>
      <c r="O5" s="88"/>
      <c r="P5" s="24"/>
      <c r="Q5" s="49"/>
      <c r="R5" s="25"/>
      <c r="S5" s="57"/>
      <c r="T5" s="63" t="str">
        <f t="shared" ref="T5:T36" ca="1" si="0">IF(ISNA(VLOOKUP(E5,地址類別Mapping,2,FALSE)),"",VLOOKUP(E5,地址類別Mapping,2,FALSE))</f>
        <v/>
      </c>
      <c r="U5" s="3" t="str">
        <f t="shared" ref="U5:U68" ca="1" si="1">IF(ISNA(VLOOKUP(F5&amp;"-"&amp;G5,郵遞區號,2,FALSE)),"",VLOOKUP(F5&amp;"-"&amp;G5,郵遞區號,2,FALSE))</f>
        <v/>
      </c>
      <c r="V5" s="3" t="str">
        <f ca="1">IF(ISNA(VLOOKUP(M5&amp;"-"&amp;N5,郵遞區號,2,FALSE)),"",VLOOKUP(M5&amp;"-"&amp;N5,郵遞區號,2,FALSE))</f>
        <v/>
      </c>
      <c r="W5" s="1" t="str">
        <f t="shared" ref="W5:W68" ca="1" si="2">IF(ISNA(VLOOKUP(B5,郵件種類MAPPING,2,FALSE)),"",VLOOKUP(B5,郵件種類MAPPING,2,FALSE))</f>
        <v/>
      </c>
      <c r="X5" s="1" t="str">
        <f t="shared" ref="X5:X68" ca="1" si="3">IF(ISNA(VLOOKUP(R5,箱袋種類Mapping,2,FALSE)),"",VLOOKUP(R5,箱袋種類Mapping,2,FALSE))</f>
        <v/>
      </c>
      <c r="Y5" s="3" t="str">
        <f t="shared" ref="Y5:Y36" ca="1" si="4">IF(ISNA(VLOOKUP(B5,郵件種類MAPPING,2,FALSE)),"","203")</f>
        <v/>
      </c>
    </row>
    <row r="6" spans="1:25" s="3" customFormat="1" x14ac:dyDescent="0.4">
      <c r="A6" s="34" t="str">
        <f t="shared" ref="A6:A69" si="5">IF(NOT(COUNTA(B6:I6)),"",ROW()-4)</f>
        <v/>
      </c>
      <c r="B6" s="15"/>
      <c r="C6" s="16"/>
      <c r="D6" s="5"/>
      <c r="E6" s="5"/>
      <c r="F6" s="79"/>
      <c r="G6" s="80"/>
      <c r="H6" s="80"/>
      <c r="I6" s="81"/>
      <c r="J6" s="16"/>
      <c r="K6" s="5"/>
      <c r="L6" s="5"/>
      <c r="M6" s="64"/>
      <c r="N6" s="65"/>
      <c r="O6" s="66"/>
      <c r="P6" s="17"/>
      <c r="Q6" s="50"/>
      <c r="R6" s="6"/>
      <c r="S6" s="58"/>
      <c r="T6" s="63" t="str">
        <f t="shared" ca="1" si="0"/>
        <v/>
      </c>
      <c r="U6" s="3" t="str">
        <f t="shared" ca="1" si="1"/>
        <v/>
      </c>
      <c r="V6" s="3" t="str">
        <f ca="1">IF(ISNA(VLOOKUP(M6&amp;"-"&amp;N6,郵遞區號,2,FALSE)),"",VLOOKUP(M6&amp;"-"&amp;N6,郵遞區號,2,FALSE))</f>
        <v/>
      </c>
      <c r="W6" s="1" t="str">
        <f t="shared" ca="1" si="2"/>
        <v/>
      </c>
      <c r="X6" s="1" t="str">
        <f t="shared" ca="1" si="3"/>
        <v/>
      </c>
      <c r="Y6" s="3" t="str">
        <f t="shared" ca="1" si="4"/>
        <v/>
      </c>
    </row>
    <row r="7" spans="1:25" s="3" customFormat="1" x14ac:dyDescent="0.4">
      <c r="A7" s="34" t="str">
        <f t="shared" si="5"/>
        <v/>
      </c>
      <c r="B7" s="15"/>
      <c r="C7" s="16"/>
      <c r="D7" s="5"/>
      <c r="E7" s="5"/>
      <c r="F7" s="79"/>
      <c r="G7" s="80"/>
      <c r="H7" s="80"/>
      <c r="I7" s="81"/>
      <c r="J7" s="16"/>
      <c r="K7" s="5"/>
      <c r="L7" s="5"/>
      <c r="M7" s="64"/>
      <c r="N7" s="65"/>
      <c r="O7" s="66"/>
      <c r="P7" s="17"/>
      <c r="Q7" s="50"/>
      <c r="R7" s="6"/>
      <c r="S7" s="58"/>
      <c r="T7" s="63" t="str">
        <f t="shared" ca="1" si="0"/>
        <v/>
      </c>
      <c r="U7" s="3" t="str">
        <f t="shared" ca="1" si="1"/>
        <v/>
      </c>
      <c r="V7" s="3" t="str">
        <f t="shared" ref="V7:V68" ca="1" si="6">IF(ISNA(VLOOKUP(M7&amp;"-"&amp;N7,郵遞區號,2,FALSE)),"",VLOOKUP(M7&amp;"-"&amp;N7,郵遞區號,2,FALSE))</f>
        <v/>
      </c>
      <c r="W7" s="1" t="str">
        <f t="shared" ca="1" si="2"/>
        <v/>
      </c>
      <c r="X7" s="1" t="str">
        <f t="shared" ca="1" si="3"/>
        <v/>
      </c>
      <c r="Y7" s="3" t="str">
        <f t="shared" ca="1" si="4"/>
        <v/>
      </c>
    </row>
    <row r="8" spans="1:25" s="3" customFormat="1" x14ac:dyDescent="0.4">
      <c r="A8" s="34" t="str">
        <f t="shared" si="5"/>
        <v/>
      </c>
      <c r="B8" s="15"/>
      <c r="C8" s="16"/>
      <c r="D8" s="5"/>
      <c r="E8" s="5"/>
      <c r="F8" s="79"/>
      <c r="G8" s="80"/>
      <c r="H8" s="80"/>
      <c r="I8" s="81"/>
      <c r="J8" s="16"/>
      <c r="K8" s="5"/>
      <c r="L8" s="5"/>
      <c r="M8" s="64"/>
      <c r="N8" s="65"/>
      <c r="O8" s="66"/>
      <c r="P8" s="17"/>
      <c r="Q8" s="50"/>
      <c r="R8" s="6"/>
      <c r="S8" s="58"/>
      <c r="T8" s="63" t="str">
        <f t="shared" ca="1" si="0"/>
        <v/>
      </c>
      <c r="U8" s="3" t="str">
        <f t="shared" ca="1" si="1"/>
        <v/>
      </c>
      <c r="V8" s="3" t="str">
        <f t="shared" ca="1" si="6"/>
        <v/>
      </c>
      <c r="W8" s="1" t="str">
        <f t="shared" ca="1" si="2"/>
        <v/>
      </c>
      <c r="X8" s="1" t="str">
        <f t="shared" ca="1" si="3"/>
        <v/>
      </c>
      <c r="Y8" s="3" t="str">
        <f t="shared" ca="1" si="4"/>
        <v/>
      </c>
    </row>
    <row r="9" spans="1:25" s="3" customFormat="1" x14ac:dyDescent="0.4">
      <c r="A9" s="34" t="str">
        <f t="shared" si="5"/>
        <v/>
      </c>
      <c r="B9" s="15"/>
      <c r="C9" s="16"/>
      <c r="D9" s="5"/>
      <c r="E9" s="5"/>
      <c r="F9" s="79"/>
      <c r="G9" s="80"/>
      <c r="H9" s="80"/>
      <c r="I9" s="81"/>
      <c r="J9" s="16"/>
      <c r="K9" s="5"/>
      <c r="L9" s="5"/>
      <c r="M9" s="64"/>
      <c r="N9" s="65"/>
      <c r="O9" s="66"/>
      <c r="P9" s="17"/>
      <c r="Q9" s="50"/>
      <c r="R9" s="6"/>
      <c r="S9" s="58"/>
      <c r="T9" s="63" t="str">
        <f t="shared" ca="1" si="0"/>
        <v/>
      </c>
      <c r="U9" s="3" t="str">
        <f t="shared" ca="1" si="1"/>
        <v/>
      </c>
      <c r="V9" s="3" t="str">
        <f t="shared" ca="1" si="6"/>
        <v/>
      </c>
      <c r="W9" s="1" t="str">
        <f t="shared" ca="1" si="2"/>
        <v/>
      </c>
      <c r="X9" s="1" t="str">
        <f t="shared" ca="1" si="3"/>
        <v/>
      </c>
      <c r="Y9" s="3" t="str">
        <f t="shared" ca="1" si="4"/>
        <v/>
      </c>
    </row>
    <row r="10" spans="1:25" s="3" customFormat="1" x14ac:dyDescent="0.4">
      <c r="A10" s="34" t="str">
        <f t="shared" si="5"/>
        <v/>
      </c>
      <c r="B10" s="15"/>
      <c r="C10" s="16"/>
      <c r="D10" s="5"/>
      <c r="E10" s="5"/>
      <c r="F10" s="79"/>
      <c r="G10" s="80"/>
      <c r="H10" s="80"/>
      <c r="I10" s="81"/>
      <c r="J10" s="16"/>
      <c r="K10" s="5"/>
      <c r="L10" s="5"/>
      <c r="M10" s="64"/>
      <c r="N10" s="65"/>
      <c r="O10" s="66"/>
      <c r="P10" s="17"/>
      <c r="Q10" s="50"/>
      <c r="R10" s="6"/>
      <c r="S10" s="59"/>
      <c r="T10" s="63" t="str">
        <f t="shared" ca="1" si="0"/>
        <v/>
      </c>
      <c r="U10" s="3" t="str">
        <f t="shared" ca="1" si="1"/>
        <v/>
      </c>
      <c r="V10" s="3" t="str">
        <f t="shared" ca="1" si="6"/>
        <v/>
      </c>
      <c r="W10" s="1" t="str">
        <f t="shared" ca="1" si="2"/>
        <v/>
      </c>
      <c r="X10" s="1" t="str">
        <f t="shared" ca="1" si="3"/>
        <v/>
      </c>
      <c r="Y10" s="3" t="str">
        <f t="shared" ca="1" si="4"/>
        <v/>
      </c>
    </row>
    <row r="11" spans="1:25" s="3" customFormat="1" x14ac:dyDescent="0.4">
      <c r="A11" s="34" t="str">
        <f t="shared" si="5"/>
        <v/>
      </c>
      <c r="B11" s="15"/>
      <c r="C11" s="16"/>
      <c r="D11" s="5"/>
      <c r="E11" s="5"/>
      <c r="F11" s="79"/>
      <c r="G11" s="80"/>
      <c r="H11" s="80"/>
      <c r="I11" s="81"/>
      <c r="J11" s="16"/>
      <c r="K11" s="5"/>
      <c r="L11" s="5"/>
      <c r="M11" s="64"/>
      <c r="N11" s="65"/>
      <c r="O11" s="66"/>
      <c r="P11" s="17"/>
      <c r="Q11" s="50"/>
      <c r="R11" s="6"/>
      <c r="S11" s="58"/>
      <c r="T11" s="63" t="str">
        <f t="shared" ca="1" si="0"/>
        <v/>
      </c>
      <c r="U11" s="3" t="str">
        <f t="shared" ca="1" si="1"/>
        <v/>
      </c>
      <c r="V11" s="3" t="str">
        <f t="shared" ca="1" si="6"/>
        <v/>
      </c>
      <c r="W11" s="1" t="str">
        <f t="shared" ca="1" si="2"/>
        <v/>
      </c>
      <c r="X11" s="1" t="str">
        <f t="shared" ca="1" si="3"/>
        <v/>
      </c>
      <c r="Y11" s="3" t="str">
        <f t="shared" ca="1" si="4"/>
        <v/>
      </c>
    </row>
    <row r="12" spans="1:25" s="3" customFormat="1" x14ac:dyDescent="0.4">
      <c r="A12" s="34" t="str">
        <f t="shared" si="5"/>
        <v/>
      </c>
      <c r="B12" s="15"/>
      <c r="C12" s="16"/>
      <c r="D12" s="5"/>
      <c r="E12" s="5"/>
      <c r="F12" s="79"/>
      <c r="G12" s="80"/>
      <c r="H12" s="80"/>
      <c r="I12" s="81"/>
      <c r="J12" s="16"/>
      <c r="K12" s="5"/>
      <c r="L12" s="5"/>
      <c r="M12" s="64"/>
      <c r="N12" s="65"/>
      <c r="O12" s="66"/>
      <c r="P12" s="17"/>
      <c r="Q12" s="50"/>
      <c r="R12" s="6"/>
      <c r="S12" s="58"/>
      <c r="T12" s="63" t="str">
        <f t="shared" ca="1" si="0"/>
        <v/>
      </c>
      <c r="U12" s="3" t="str">
        <f t="shared" ca="1" si="1"/>
        <v/>
      </c>
      <c r="V12" s="3" t="str">
        <f t="shared" ca="1" si="6"/>
        <v/>
      </c>
      <c r="W12" s="1" t="str">
        <f t="shared" ca="1" si="2"/>
        <v/>
      </c>
      <c r="X12" s="1" t="str">
        <f t="shared" ca="1" si="3"/>
        <v/>
      </c>
      <c r="Y12" s="3" t="str">
        <f t="shared" ca="1" si="4"/>
        <v/>
      </c>
    </row>
    <row r="13" spans="1:25" s="3" customFormat="1" x14ac:dyDescent="0.4">
      <c r="A13" s="34" t="str">
        <f t="shared" si="5"/>
        <v/>
      </c>
      <c r="B13" s="15"/>
      <c r="C13" s="16"/>
      <c r="D13" s="5"/>
      <c r="E13" s="5"/>
      <c r="F13" s="79"/>
      <c r="G13" s="80"/>
      <c r="H13" s="80"/>
      <c r="I13" s="81"/>
      <c r="J13" s="16"/>
      <c r="K13" s="5"/>
      <c r="L13" s="5"/>
      <c r="M13" s="64"/>
      <c r="N13" s="65"/>
      <c r="O13" s="66"/>
      <c r="P13" s="17"/>
      <c r="Q13" s="50"/>
      <c r="R13" s="6"/>
      <c r="S13" s="58"/>
      <c r="T13" s="63" t="str">
        <f t="shared" ca="1" si="0"/>
        <v/>
      </c>
      <c r="U13" s="3" t="str">
        <f t="shared" ca="1" si="1"/>
        <v/>
      </c>
      <c r="V13" s="3" t="str">
        <f t="shared" ca="1" si="6"/>
        <v/>
      </c>
      <c r="W13" s="1" t="str">
        <f t="shared" ca="1" si="2"/>
        <v/>
      </c>
      <c r="X13" s="1" t="str">
        <f t="shared" ca="1" si="3"/>
        <v/>
      </c>
      <c r="Y13" s="3" t="str">
        <f t="shared" ca="1" si="4"/>
        <v/>
      </c>
    </row>
    <row r="14" spans="1:25" s="3" customFormat="1" x14ac:dyDescent="0.4">
      <c r="A14" s="34" t="str">
        <f t="shared" si="5"/>
        <v/>
      </c>
      <c r="B14" s="15"/>
      <c r="C14" s="16"/>
      <c r="D14" s="5"/>
      <c r="E14" s="5"/>
      <c r="F14" s="79"/>
      <c r="G14" s="80"/>
      <c r="H14" s="80"/>
      <c r="I14" s="81"/>
      <c r="J14" s="16"/>
      <c r="K14" s="5"/>
      <c r="L14" s="5"/>
      <c r="M14" s="64"/>
      <c r="N14" s="65"/>
      <c r="O14" s="66"/>
      <c r="P14" s="17"/>
      <c r="Q14" s="50"/>
      <c r="R14" s="6"/>
      <c r="S14" s="58"/>
      <c r="T14" s="63" t="str">
        <f t="shared" ca="1" si="0"/>
        <v/>
      </c>
      <c r="U14" s="3" t="str">
        <f t="shared" ca="1" si="1"/>
        <v/>
      </c>
      <c r="V14" s="3" t="str">
        <f t="shared" ca="1" si="6"/>
        <v/>
      </c>
      <c r="W14" s="1" t="str">
        <f t="shared" ca="1" si="2"/>
        <v/>
      </c>
      <c r="X14" s="1" t="str">
        <f t="shared" ca="1" si="3"/>
        <v/>
      </c>
      <c r="Y14" s="3" t="str">
        <f t="shared" ca="1" si="4"/>
        <v/>
      </c>
    </row>
    <row r="15" spans="1:25" s="3" customFormat="1" x14ac:dyDescent="0.4">
      <c r="A15" s="34" t="str">
        <f t="shared" si="5"/>
        <v/>
      </c>
      <c r="B15" s="15"/>
      <c r="C15" s="16"/>
      <c r="D15" s="5"/>
      <c r="E15" s="5"/>
      <c r="F15" s="79"/>
      <c r="G15" s="80"/>
      <c r="H15" s="80"/>
      <c r="I15" s="81"/>
      <c r="J15" s="16"/>
      <c r="K15" s="5"/>
      <c r="L15" s="5"/>
      <c r="M15" s="64"/>
      <c r="N15" s="65"/>
      <c r="O15" s="66"/>
      <c r="P15" s="17"/>
      <c r="Q15" s="50"/>
      <c r="R15" s="6"/>
      <c r="S15" s="58"/>
      <c r="T15" s="63" t="str">
        <f t="shared" ca="1" si="0"/>
        <v/>
      </c>
      <c r="U15" s="3" t="str">
        <f t="shared" ca="1" si="1"/>
        <v/>
      </c>
      <c r="V15" s="3" t="str">
        <f t="shared" ca="1" si="6"/>
        <v/>
      </c>
      <c r="W15" s="1" t="str">
        <f t="shared" ca="1" si="2"/>
        <v/>
      </c>
      <c r="X15" s="1" t="str">
        <f t="shared" ca="1" si="3"/>
        <v/>
      </c>
      <c r="Y15" s="3" t="str">
        <f t="shared" ca="1" si="4"/>
        <v/>
      </c>
    </row>
    <row r="16" spans="1:25" s="3" customFormat="1" x14ac:dyDescent="0.4">
      <c r="A16" s="34" t="str">
        <f t="shared" si="5"/>
        <v/>
      </c>
      <c r="B16" s="15"/>
      <c r="C16" s="16"/>
      <c r="D16" s="5"/>
      <c r="E16" s="5"/>
      <c r="F16" s="79"/>
      <c r="G16" s="80"/>
      <c r="H16" s="80"/>
      <c r="I16" s="81"/>
      <c r="J16" s="16"/>
      <c r="K16" s="5"/>
      <c r="L16" s="5"/>
      <c r="M16" s="64"/>
      <c r="N16" s="65"/>
      <c r="O16" s="66"/>
      <c r="P16" s="17"/>
      <c r="Q16" s="50"/>
      <c r="R16" s="6"/>
      <c r="S16" s="58"/>
      <c r="T16" s="63" t="str">
        <f t="shared" ca="1" si="0"/>
        <v/>
      </c>
      <c r="U16" s="3" t="str">
        <f t="shared" ca="1" si="1"/>
        <v/>
      </c>
      <c r="V16" s="3" t="str">
        <f t="shared" ca="1" si="6"/>
        <v/>
      </c>
      <c r="W16" s="1" t="str">
        <f t="shared" ca="1" si="2"/>
        <v/>
      </c>
      <c r="X16" s="1" t="str">
        <f t="shared" ca="1" si="3"/>
        <v/>
      </c>
      <c r="Y16" s="3" t="str">
        <f t="shared" ca="1" si="4"/>
        <v/>
      </c>
    </row>
    <row r="17" spans="1:25" s="3" customFormat="1" x14ac:dyDescent="0.4">
      <c r="A17" s="34" t="str">
        <f t="shared" si="5"/>
        <v/>
      </c>
      <c r="B17" s="15"/>
      <c r="C17" s="16"/>
      <c r="D17" s="5"/>
      <c r="E17" s="5"/>
      <c r="F17" s="79"/>
      <c r="G17" s="80"/>
      <c r="H17" s="80"/>
      <c r="I17" s="81"/>
      <c r="J17" s="16"/>
      <c r="K17" s="5"/>
      <c r="L17" s="5"/>
      <c r="M17" s="64"/>
      <c r="N17" s="65"/>
      <c r="O17" s="66"/>
      <c r="P17" s="17"/>
      <c r="Q17" s="50"/>
      <c r="R17" s="6"/>
      <c r="S17" s="58"/>
      <c r="T17" s="63" t="str">
        <f t="shared" ca="1" si="0"/>
        <v/>
      </c>
      <c r="U17" s="3" t="str">
        <f t="shared" ca="1" si="1"/>
        <v/>
      </c>
      <c r="V17" s="3" t="str">
        <f t="shared" ca="1" si="6"/>
        <v/>
      </c>
      <c r="W17" s="1" t="str">
        <f t="shared" ca="1" si="2"/>
        <v/>
      </c>
      <c r="X17" s="1" t="str">
        <f t="shared" ca="1" si="3"/>
        <v/>
      </c>
      <c r="Y17" s="3" t="str">
        <f t="shared" ca="1" si="4"/>
        <v/>
      </c>
    </row>
    <row r="18" spans="1:25" s="3" customFormat="1" x14ac:dyDescent="0.4">
      <c r="A18" s="34" t="str">
        <f t="shared" si="5"/>
        <v/>
      </c>
      <c r="B18" s="15"/>
      <c r="C18" s="16"/>
      <c r="D18" s="5"/>
      <c r="E18" s="5"/>
      <c r="F18" s="79"/>
      <c r="G18" s="80"/>
      <c r="H18" s="80"/>
      <c r="I18" s="81"/>
      <c r="J18" s="16"/>
      <c r="K18" s="5"/>
      <c r="L18" s="5"/>
      <c r="M18" s="64"/>
      <c r="N18" s="65"/>
      <c r="O18" s="66"/>
      <c r="P18" s="17"/>
      <c r="Q18" s="50"/>
      <c r="R18" s="6"/>
      <c r="S18" s="58"/>
      <c r="T18" s="63" t="str">
        <f t="shared" ca="1" si="0"/>
        <v/>
      </c>
      <c r="U18" s="3" t="str">
        <f t="shared" ca="1" si="1"/>
        <v/>
      </c>
      <c r="V18" s="3" t="str">
        <f t="shared" ca="1" si="6"/>
        <v/>
      </c>
      <c r="W18" s="1" t="str">
        <f t="shared" ca="1" si="2"/>
        <v/>
      </c>
      <c r="X18" s="1" t="str">
        <f t="shared" ca="1" si="3"/>
        <v/>
      </c>
      <c r="Y18" s="3" t="str">
        <f t="shared" ca="1" si="4"/>
        <v/>
      </c>
    </row>
    <row r="19" spans="1:25" s="3" customFormat="1" x14ac:dyDescent="0.4">
      <c r="A19" s="34" t="str">
        <f t="shared" si="5"/>
        <v/>
      </c>
      <c r="B19" s="15"/>
      <c r="C19" s="16"/>
      <c r="D19" s="5"/>
      <c r="E19" s="5"/>
      <c r="F19" s="79"/>
      <c r="G19" s="80"/>
      <c r="H19" s="80"/>
      <c r="I19" s="81"/>
      <c r="J19" s="16"/>
      <c r="K19" s="5"/>
      <c r="L19" s="5"/>
      <c r="M19" s="64"/>
      <c r="N19" s="65"/>
      <c r="O19" s="66"/>
      <c r="P19" s="17"/>
      <c r="Q19" s="50"/>
      <c r="R19" s="6"/>
      <c r="S19" s="58"/>
      <c r="T19" s="63" t="str">
        <f t="shared" ca="1" si="0"/>
        <v/>
      </c>
      <c r="U19" s="3" t="str">
        <f t="shared" ca="1" si="1"/>
        <v/>
      </c>
      <c r="V19" s="3" t="str">
        <f t="shared" ca="1" si="6"/>
        <v/>
      </c>
      <c r="W19" s="1" t="str">
        <f t="shared" ca="1" si="2"/>
        <v/>
      </c>
      <c r="X19" s="1" t="str">
        <f t="shared" ca="1" si="3"/>
        <v/>
      </c>
      <c r="Y19" s="3" t="str">
        <f t="shared" ca="1" si="4"/>
        <v/>
      </c>
    </row>
    <row r="20" spans="1:25" s="3" customFormat="1" x14ac:dyDescent="0.4">
      <c r="A20" s="34" t="str">
        <f t="shared" si="5"/>
        <v/>
      </c>
      <c r="B20" s="15"/>
      <c r="C20" s="16"/>
      <c r="D20" s="5"/>
      <c r="E20" s="5"/>
      <c r="F20" s="79"/>
      <c r="G20" s="80"/>
      <c r="H20" s="80"/>
      <c r="I20" s="81"/>
      <c r="J20" s="16"/>
      <c r="K20" s="5"/>
      <c r="L20" s="5"/>
      <c r="M20" s="64"/>
      <c r="N20" s="65"/>
      <c r="O20" s="66"/>
      <c r="P20" s="17"/>
      <c r="Q20" s="50"/>
      <c r="R20" s="6"/>
      <c r="S20" s="58"/>
      <c r="T20" s="63" t="str">
        <f t="shared" ca="1" si="0"/>
        <v/>
      </c>
      <c r="U20" s="3" t="str">
        <f t="shared" ca="1" si="1"/>
        <v/>
      </c>
      <c r="V20" s="3" t="str">
        <f t="shared" ca="1" si="6"/>
        <v/>
      </c>
      <c r="W20" s="1" t="str">
        <f t="shared" ca="1" si="2"/>
        <v/>
      </c>
      <c r="X20" s="1" t="str">
        <f t="shared" ca="1" si="3"/>
        <v/>
      </c>
      <c r="Y20" s="3" t="str">
        <f t="shared" ca="1" si="4"/>
        <v/>
      </c>
    </row>
    <row r="21" spans="1:25" s="3" customFormat="1" x14ac:dyDescent="0.4">
      <c r="A21" s="34" t="str">
        <f t="shared" si="5"/>
        <v/>
      </c>
      <c r="B21" s="15"/>
      <c r="C21" s="16"/>
      <c r="D21" s="5"/>
      <c r="E21" s="5"/>
      <c r="F21" s="79"/>
      <c r="G21" s="80"/>
      <c r="H21" s="80"/>
      <c r="I21" s="81"/>
      <c r="J21" s="16"/>
      <c r="K21" s="5"/>
      <c r="L21" s="5"/>
      <c r="M21" s="64"/>
      <c r="N21" s="65"/>
      <c r="O21" s="66"/>
      <c r="P21" s="17"/>
      <c r="Q21" s="50"/>
      <c r="R21" s="6"/>
      <c r="S21" s="58"/>
      <c r="T21" s="63" t="str">
        <f t="shared" ca="1" si="0"/>
        <v/>
      </c>
      <c r="U21" s="3" t="str">
        <f t="shared" ca="1" si="1"/>
        <v/>
      </c>
      <c r="V21" s="3" t="str">
        <f t="shared" ca="1" si="6"/>
        <v/>
      </c>
      <c r="W21" s="1" t="str">
        <f t="shared" ca="1" si="2"/>
        <v/>
      </c>
      <c r="X21" s="1" t="str">
        <f t="shared" ca="1" si="3"/>
        <v/>
      </c>
      <c r="Y21" s="3" t="str">
        <f t="shared" ca="1" si="4"/>
        <v/>
      </c>
    </row>
    <row r="22" spans="1:25" s="3" customFormat="1" x14ac:dyDescent="0.4">
      <c r="A22" s="34" t="str">
        <f t="shared" si="5"/>
        <v/>
      </c>
      <c r="B22" s="15"/>
      <c r="C22" s="16"/>
      <c r="D22" s="5"/>
      <c r="E22" s="5"/>
      <c r="F22" s="79"/>
      <c r="G22" s="80"/>
      <c r="H22" s="80"/>
      <c r="I22" s="81"/>
      <c r="J22" s="16"/>
      <c r="K22" s="5"/>
      <c r="L22" s="5"/>
      <c r="M22" s="64"/>
      <c r="N22" s="65"/>
      <c r="O22" s="66"/>
      <c r="P22" s="17"/>
      <c r="Q22" s="50"/>
      <c r="R22" s="6"/>
      <c r="S22" s="58"/>
      <c r="T22" s="63" t="str">
        <f t="shared" ca="1" si="0"/>
        <v/>
      </c>
      <c r="U22" s="3" t="str">
        <f t="shared" ca="1" si="1"/>
        <v/>
      </c>
      <c r="V22" s="3" t="str">
        <f t="shared" ca="1" si="6"/>
        <v/>
      </c>
      <c r="W22" s="1" t="str">
        <f t="shared" ca="1" si="2"/>
        <v/>
      </c>
      <c r="X22" s="1" t="str">
        <f t="shared" ca="1" si="3"/>
        <v/>
      </c>
      <c r="Y22" s="3" t="str">
        <f t="shared" ca="1" si="4"/>
        <v/>
      </c>
    </row>
    <row r="23" spans="1:25" s="3" customFormat="1" x14ac:dyDescent="0.4">
      <c r="A23" s="34" t="str">
        <f t="shared" si="5"/>
        <v/>
      </c>
      <c r="B23" s="15"/>
      <c r="C23" s="16"/>
      <c r="D23" s="5"/>
      <c r="E23" s="5"/>
      <c r="F23" s="79"/>
      <c r="G23" s="80"/>
      <c r="H23" s="80"/>
      <c r="I23" s="81"/>
      <c r="J23" s="16"/>
      <c r="K23" s="5"/>
      <c r="L23" s="5"/>
      <c r="M23" s="64"/>
      <c r="N23" s="65"/>
      <c r="O23" s="66"/>
      <c r="P23" s="17"/>
      <c r="Q23" s="50"/>
      <c r="R23" s="6"/>
      <c r="S23" s="58"/>
      <c r="T23" s="63" t="str">
        <f t="shared" ca="1" si="0"/>
        <v/>
      </c>
      <c r="U23" s="3" t="str">
        <f t="shared" ca="1" si="1"/>
        <v/>
      </c>
      <c r="V23" s="3" t="str">
        <f t="shared" ca="1" si="6"/>
        <v/>
      </c>
      <c r="W23" s="1" t="str">
        <f t="shared" ca="1" si="2"/>
        <v/>
      </c>
      <c r="X23" s="1" t="str">
        <f t="shared" ca="1" si="3"/>
        <v/>
      </c>
      <c r="Y23" s="3" t="str">
        <f t="shared" ca="1" si="4"/>
        <v/>
      </c>
    </row>
    <row r="24" spans="1:25" s="3" customFormat="1" x14ac:dyDescent="0.4">
      <c r="A24" s="34" t="str">
        <f t="shared" si="5"/>
        <v/>
      </c>
      <c r="B24" s="15"/>
      <c r="C24" s="16"/>
      <c r="D24" s="5"/>
      <c r="E24" s="5"/>
      <c r="F24" s="79"/>
      <c r="G24" s="80"/>
      <c r="H24" s="80"/>
      <c r="I24" s="81"/>
      <c r="J24" s="16"/>
      <c r="K24" s="5"/>
      <c r="L24" s="5"/>
      <c r="M24" s="64"/>
      <c r="N24" s="65"/>
      <c r="O24" s="66"/>
      <c r="P24" s="17"/>
      <c r="Q24" s="50"/>
      <c r="R24" s="6"/>
      <c r="S24" s="58"/>
      <c r="T24" s="63" t="str">
        <f t="shared" ca="1" si="0"/>
        <v/>
      </c>
      <c r="U24" s="3" t="str">
        <f t="shared" ca="1" si="1"/>
        <v/>
      </c>
      <c r="V24" s="3" t="str">
        <f t="shared" ca="1" si="6"/>
        <v/>
      </c>
      <c r="W24" s="1" t="str">
        <f t="shared" ca="1" si="2"/>
        <v/>
      </c>
      <c r="X24" s="1" t="str">
        <f t="shared" ca="1" si="3"/>
        <v/>
      </c>
      <c r="Y24" s="3" t="str">
        <f t="shared" ca="1" si="4"/>
        <v/>
      </c>
    </row>
    <row r="25" spans="1:25" s="3" customFormat="1" x14ac:dyDescent="0.4">
      <c r="A25" s="34" t="str">
        <f t="shared" si="5"/>
        <v/>
      </c>
      <c r="B25" s="15"/>
      <c r="C25" s="16"/>
      <c r="D25" s="5"/>
      <c r="E25" s="5"/>
      <c r="F25" s="79"/>
      <c r="G25" s="80"/>
      <c r="H25" s="80"/>
      <c r="I25" s="81"/>
      <c r="J25" s="16"/>
      <c r="K25" s="5"/>
      <c r="L25" s="5"/>
      <c r="M25" s="64"/>
      <c r="N25" s="65"/>
      <c r="O25" s="66"/>
      <c r="P25" s="17"/>
      <c r="Q25" s="50"/>
      <c r="R25" s="6"/>
      <c r="S25" s="58"/>
      <c r="T25" s="63" t="str">
        <f t="shared" ca="1" si="0"/>
        <v/>
      </c>
      <c r="U25" s="3" t="str">
        <f t="shared" ca="1" si="1"/>
        <v/>
      </c>
      <c r="V25" s="3" t="str">
        <f t="shared" ca="1" si="6"/>
        <v/>
      </c>
      <c r="W25" s="1" t="str">
        <f t="shared" ca="1" si="2"/>
        <v/>
      </c>
      <c r="X25" s="1" t="str">
        <f t="shared" ca="1" si="3"/>
        <v/>
      </c>
      <c r="Y25" s="3" t="str">
        <f t="shared" ca="1" si="4"/>
        <v/>
      </c>
    </row>
    <row r="26" spans="1:25" s="3" customFormat="1" x14ac:dyDescent="0.4">
      <c r="A26" s="34" t="str">
        <f t="shared" si="5"/>
        <v/>
      </c>
      <c r="B26" s="15"/>
      <c r="C26" s="16"/>
      <c r="D26" s="5"/>
      <c r="E26" s="5"/>
      <c r="F26" s="79"/>
      <c r="G26" s="80"/>
      <c r="H26" s="80"/>
      <c r="I26" s="81"/>
      <c r="J26" s="16"/>
      <c r="K26" s="5"/>
      <c r="L26" s="5"/>
      <c r="M26" s="64"/>
      <c r="N26" s="65"/>
      <c r="O26" s="66"/>
      <c r="P26" s="17"/>
      <c r="Q26" s="50"/>
      <c r="R26" s="6"/>
      <c r="S26" s="58"/>
      <c r="T26" s="63" t="str">
        <f t="shared" ca="1" si="0"/>
        <v/>
      </c>
      <c r="U26" s="3" t="str">
        <f t="shared" ca="1" si="1"/>
        <v/>
      </c>
      <c r="V26" s="3" t="str">
        <f t="shared" ca="1" si="6"/>
        <v/>
      </c>
      <c r="W26" s="1" t="str">
        <f t="shared" ca="1" si="2"/>
        <v/>
      </c>
      <c r="X26" s="1" t="str">
        <f t="shared" ca="1" si="3"/>
        <v/>
      </c>
      <c r="Y26" s="3" t="str">
        <f t="shared" ca="1" si="4"/>
        <v/>
      </c>
    </row>
    <row r="27" spans="1:25" s="3" customFormat="1" x14ac:dyDescent="0.4">
      <c r="A27" s="34" t="str">
        <f t="shared" si="5"/>
        <v/>
      </c>
      <c r="B27" s="15"/>
      <c r="C27" s="16"/>
      <c r="D27" s="5"/>
      <c r="E27" s="5"/>
      <c r="F27" s="79"/>
      <c r="G27" s="80"/>
      <c r="H27" s="80"/>
      <c r="I27" s="81"/>
      <c r="J27" s="16"/>
      <c r="K27" s="5"/>
      <c r="L27" s="5"/>
      <c r="M27" s="64"/>
      <c r="N27" s="65"/>
      <c r="O27" s="66"/>
      <c r="P27" s="17"/>
      <c r="Q27" s="50"/>
      <c r="R27" s="6"/>
      <c r="S27" s="58"/>
      <c r="T27" s="63" t="str">
        <f t="shared" ca="1" si="0"/>
        <v/>
      </c>
      <c r="U27" s="3" t="str">
        <f t="shared" ca="1" si="1"/>
        <v/>
      </c>
      <c r="V27" s="3" t="str">
        <f t="shared" ca="1" si="6"/>
        <v/>
      </c>
      <c r="W27" s="1" t="str">
        <f t="shared" ca="1" si="2"/>
        <v/>
      </c>
      <c r="X27" s="1" t="str">
        <f t="shared" ca="1" si="3"/>
        <v/>
      </c>
      <c r="Y27" s="3" t="str">
        <f t="shared" ca="1" si="4"/>
        <v/>
      </c>
    </row>
    <row r="28" spans="1:25" s="3" customFormat="1" x14ac:dyDescent="0.4">
      <c r="A28" s="34" t="str">
        <f t="shared" si="5"/>
        <v/>
      </c>
      <c r="B28" s="15"/>
      <c r="C28" s="16"/>
      <c r="D28" s="5"/>
      <c r="E28" s="5"/>
      <c r="F28" s="79"/>
      <c r="G28" s="80"/>
      <c r="H28" s="80"/>
      <c r="I28" s="81"/>
      <c r="J28" s="16"/>
      <c r="K28" s="5"/>
      <c r="L28" s="5"/>
      <c r="M28" s="64"/>
      <c r="N28" s="65"/>
      <c r="O28" s="66"/>
      <c r="P28" s="17"/>
      <c r="Q28" s="50"/>
      <c r="R28" s="6"/>
      <c r="S28" s="58"/>
      <c r="T28" s="63" t="str">
        <f t="shared" ca="1" si="0"/>
        <v/>
      </c>
      <c r="U28" s="3" t="str">
        <f t="shared" ca="1" si="1"/>
        <v/>
      </c>
      <c r="V28" s="3" t="str">
        <f t="shared" ca="1" si="6"/>
        <v/>
      </c>
      <c r="W28" s="1" t="str">
        <f t="shared" ca="1" si="2"/>
        <v/>
      </c>
      <c r="X28" s="1" t="str">
        <f t="shared" ca="1" si="3"/>
        <v/>
      </c>
      <c r="Y28" s="3" t="str">
        <f t="shared" ca="1" si="4"/>
        <v/>
      </c>
    </row>
    <row r="29" spans="1:25" s="3" customFormat="1" x14ac:dyDescent="0.4">
      <c r="A29" s="34" t="str">
        <f t="shared" si="5"/>
        <v/>
      </c>
      <c r="B29" s="15"/>
      <c r="C29" s="16"/>
      <c r="D29" s="5"/>
      <c r="E29" s="5"/>
      <c r="F29" s="79"/>
      <c r="G29" s="80"/>
      <c r="H29" s="80"/>
      <c r="I29" s="81"/>
      <c r="J29" s="16"/>
      <c r="K29" s="5"/>
      <c r="L29" s="5"/>
      <c r="M29" s="64"/>
      <c r="N29" s="65"/>
      <c r="O29" s="66"/>
      <c r="P29" s="17"/>
      <c r="Q29" s="50"/>
      <c r="R29" s="6"/>
      <c r="S29" s="58"/>
      <c r="T29" s="63" t="str">
        <f t="shared" ca="1" si="0"/>
        <v/>
      </c>
      <c r="U29" s="3" t="str">
        <f t="shared" ca="1" si="1"/>
        <v/>
      </c>
      <c r="V29" s="3" t="str">
        <f t="shared" ca="1" si="6"/>
        <v/>
      </c>
      <c r="W29" s="1" t="str">
        <f t="shared" ca="1" si="2"/>
        <v/>
      </c>
      <c r="X29" s="1" t="str">
        <f t="shared" ca="1" si="3"/>
        <v/>
      </c>
      <c r="Y29" s="3" t="str">
        <f t="shared" ca="1" si="4"/>
        <v/>
      </c>
    </row>
    <row r="30" spans="1:25" s="3" customFormat="1" x14ac:dyDescent="0.4">
      <c r="A30" s="34" t="str">
        <f t="shared" si="5"/>
        <v/>
      </c>
      <c r="B30" s="15"/>
      <c r="C30" s="16"/>
      <c r="D30" s="5"/>
      <c r="E30" s="5"/>
      <c r="F30" s="79"/>
      <c r="G30" s="80"/>
      <c r="H30" s="80"/>
      <c r="I30" s="81"/>
      <c r="J30" s="16"/>
      <c r="K30" s="5"/>
      <c r="L30" s="5"/>
      <c r="M30" s="64"/>
      <c r="N30" s="65"/>
      <c r="O30" s="66"/>
      <c r="P30" s="17"/>
      <c r="Q30" s="50"/>
      <c r="R30" s="6"/>
      <c r="S30" s="58"/>
      <c r="T30" s="63" t="str">
        <f t="shared" ca="1" si="0"/>
        <v/>
      </c>
      <c r="U30" s="3" t="str">
        <f t="shared" ca="1" si="1"/>
        <v/>
      </c>
      <c r="V30" s="3" t="str">
        <f t="shared" ca="1" si="6"/>
        <v/>
      </c>
      <c r="W30" s="1" t="str">
        <f t="shared" ca="1" si="2"/>
        <v/>
      </c>
      <c r="X30" s="1" t="str">
        <f t="shared" ca="1" si="3"/>
        <v/>
      </c>
      <c r="Y30" s="3" t="str">
        <f t="shared" ca="1" si="4"/>
        <v/>
      </c>
    </row>
    <row r="31" spans="1:25" s="3" customFormat="1" x14ac:dyDescent="0.4">
      <c r="A31" s="34" t="str">
        <f t="shared" si="5"/>
        <v/>
      </c>
      <c r="B31" s="15"/>
      <c r="C31" s="16"/>
      <c r="D31" s="5"/>
      <c r="E31" s="5"/>
      <c r="F31" s="79"/>
      <c r="G31" s="80"/>
      <c r="H31" s="80"/>
      <c r="I31" s="81"/>
      <c r="J31" s="16"/>
      <c r="K31" s="5"/>
      <c r="L31" s="5"/>
      <c r="M31" s="64"/>
      <c r="N31" s="65"/>
      <c r="O31" s="66"/>
      <c r="P31" s="17"/>
      <c r="Q31" s="50"/>
      <c r="R31" s="6"/>
      <c r="S31" s="58"/>
      <c r="T31" s="63" t="str">
        <f t="shared" ca="1" si="0"/>
        <v/>
      </c>
      <c r="U31" s="3" t="str">
        <f t="shared" ca="1" si="1"/>
        <v/>
      </c>
      <c r="V31" s="3" t="str">
        <f t="shared" ca="1" si="6"/>
        <v/>
      </c>
      <c r="W31" s="1" t="str">
        <f t="shared" ca="1" si="2"/>
        <v/>
      </c>
      <c r="X31" s="1" t="str">
        <f t="shared" ca="1" si="3"/>
        <v/>
      </c>
      <c r="Y31" s="3" t="str">
        <f t="shared" ca="1" si="4"/>
        <v/>
      </c>
    </row>
    <row r="32" spans="1:25" s="3" customFormat="1" x14ac:dyDescent="0.4">
      <c r="A32" s="34" t="str">
        <f t="shared" si="5"/>
        <v/>
      </c>
      <c r="B32" s="15"/>
      <c r="C32" s="16"/>
      <c r="D32" s="5"/>
      <c r="E32" s="5"/>
      <c r="F32" s="79"/>
      <c r="G32" s="80"/>
      <c r="H32" s="80"/>
      <c r="I32" s="81"/>
      <c r="J32" s="16"/>
      <c r="K32" s="5"/>
      <c r="L32" s="5"/>
      <c r="M32" s="64"/>
      <c r="N32" s="65"/>
      <c r="O32" s="66"/>
      <c r="P32" s="17"/>
      <c r="Q32" s="50"/>
      <c r="R32" s="6"/>
      <c r="S32" s="58"/>
      <c r="T32" s="63" t="str">
        <f t="shared" ca="1" si="0"/>
        <v/>
      </c>
      <c r="U32" s="3" t="str">
        <f t="shared" ca="1" si="1"/>
        <v/>
      </c>
      <c r="V32" s="3" t="str">
        <f t="shared" ca="1" si="6"/>
        <v/>
      </c>
      <c r="W32" s="1" t="str">
        <f t="shared" ca="1" si="2"/>
        <v/>
      </c>
      <c r="X32" s="1" t="str">
        <f t="shared" ca="1" si="3"/>
        <v/>
      </c>
      <c r="Y32" s="3" t="str">
        <f t="shared" ca="1" si="4"/>
        <v/>
      </c>
    </row>
    <row r="33" spans="1:25" s="3" customFormat="1" x14ac:dyDescent="0.4">
      <c r="A33" s="34" t="str">
        <f t="shared" si="5"/>
        <v/>
      </c>
      <c r="B33" s="15"/>
      <c r="C33" s="16"/>
      <c r="D33" s="5"/>
      <c r="E33" s="5"/>
      <c r="F33" s="79"/>
      <c r="G33" s="80"/>
      <c r="H33" s="80"/>
      <c r="I33" s="81"/>
      <c r="J33" s="16"/>
      <c r="K33" s="5"/>
      <c r="L33" s="5"/>
      <c r="M33" s="64"/>
      <c r="N33" s="65"/>
      <c r="O33" s="66"/>
      <c r="P33" s="17"/>
      <c r="Q33" s="50"/>
      <c r="R33" s="6"/>
      <c r="S33" s="58"/>
      <c r="T33" s="63" t="str">
        <f t="shared" ca="1" si="0"/>
        <v/>
      </c>
      <c r="U33" s="3" t="str">
        <f t="shared" ca="1" si="1"/>
        <v/>
      </c>
      <c r="V33" s="3" t="str">
        <f t="shared" ca="1" si="6"/>
        <v/>
      </c>
      <c r="W33" s="1" t="str">
        <f t="shared" ca="1" si="2"/>
        <v/>
      </c>
      <c r="X33" s="1" t="str">
        <f t="shared" ca="1" si="3"/>
        <v/>
      </c>
      <c r="Y33" s="3" t="str">
        <f t="shared" ca="1" si="4"/>
        <v/>
      </c>
    </row>
    <row r="34" spans="1:25" s="3" customFormat="1" x14ac:dyDescent="0.4">
      <c r="A34" s="34" t="str">
        <f t="shared" si="5"/>
        <v/>
      </c>
      <c r="B34" s="15"/>
      <c r="C34" s="16"/>
      <c r="D34" s="5"/>
      <c r="E34" s="5"/>
      <c r="F34" s="79"/>
      <c r="G34" s="80"/>
      <c r="H34" s="80"/>
      <c r="I34" s="81"/>
      <c r="J34" s="16"/>
      <c r="K34" s="5"/>
      <c r="L34" s="5"/>
      <c r="M34" s="64"/>
      <c r="N34" s="65"/>
      <c r="O34" s="66"/>
      <c r="P34" s="17"/>
      <c r="Q34" s="50"/>
      <c r="R34" s="6"/>
      <c r="S34" s="58"/>
      <c r="T34" s="63" t="str">
        <f t="shared" ca="1" si="0"/>
        <v/>
      </c>
      <c r="U34" s="3" t="str">
        <f t="shared" ca="1" si="1"/>
        <v/>
      </c>
      <c r="V34" s="3" t="str">
        <f t="shared" ca="1" si="6"/>
        <v/>
      </c>
      <c r="W34" s="1" t="str">
        <f t="shared" ca="1" si="2"/>
        <v/>
      </c>
      <c r="X34" s="1" t="str">
        <f t="shared" ca="1" si="3"/>
        <v/>
      </c>
      <c r="Y34" s="3" t="str">
        <f t="shared" ca="1" si="4"/>
        <v/>
      </c>
    </row>
    <row r="35" spans="1:25" s="3" customFormat="1" x14ac:dyDescent="0.4">
      <c r="A35" s="34" t="str">
        <f t="shared" si="5"/>
        <v/>
      </c>
      <c r="B35" s="15"/>
      <c r="C35" s="16"/>
      <c r="D35" s="5"/>
      <c r="E35" s="5"/>
      <c r="F35" s="79"/>
      <c r="G35" s="80"/>
      <c r="H35" s="80"/>
      <c r="I35" s="81"/>
      <c r="J35" s="16"/>
      <c r="K35" s="5"/>
      <c r="L35" s="5"/>
      <c r="M35" s="64"/>
      <c r="N35" s="65"/>
      <c r="O35" s="66"/>
      <c r="P35" s="17"/>
      <c r="Q35" s="50"/>
      <c r="R35" s="6"/>
      <c r="S35" s="58"/>
      <c r="T35" s="63" t="str">
        <f t="shared" ca="1" si="0"/>
        <v/>
      </c>
      <c r="U35" s="3" t="str">
        <f t="shared" ca="1" si="1"/>
        <v/>
      </c>
      <c r="V35" s="3" t="str">
        <f t="shared" ca="1" si="6"/>
        <v/>
      </c>
      <c r="W35" s="1" t="str">
        <f t="shared" ca="1" si="2"/>
        <v/>
      </c>
      <c r="X35" s="1" t="str">
        <f t="shared" ca="1" si="3"/>
        <v/>
      </c>
      <c r="Y35" s="3" t="str">
        <f t="shared" ca="1" si="4"/>
        <v/>
      </c>
    </row>
    <row r="36" spans="1:25" s="3" customFormat="1" x14ac:dyDescent="0.4">
      <c r="A36" s="34" t="str">
        <f t="shared" si="5"/>
        <v/>
      </c>
      <c r="B36" s="15"/>
      <c r="C36" s="16"/>
      <c r="D36" s="5"/>
      <c r="E36" s="5"/>
      <c r="F36" s="79"/>
      <c r="G36" s="80"/>
      <c r="H36" s="80"/>
      <c r="I36" s="81"/>
      <c r="J36" s="16"/>
      <c r="K36" s="5"/>
      <c r="L36" s="5"/>
      <c r="M36" s="64"/>
      <c r="N36" s="65"/>
      <c r="O36" s="66"/>
      <c r="P36" s="17"/>
      <c r="Q36" s="50"/>
      <c r="R36" s="6"/>
      <c r="S36" s="58"/>
      <c r="T36" s="63" t="str">
        <f t="shared" ca="1" si="0"/>
        <v/>
      </c>
      <c r="U36" s="3" t="str">
        <f t="shared" ca="1" si="1"/>
        <v/>
      </c>
      <c r="V36" s="3" t="str">
        <f t="shared" ca="1" si="6"/>
        <v/>
      </c>
      <c r="W36" s="1" t="str">
        <f t="shared" ca="1" si="2"/>
        <v/>
      </c>
      <c r="X36" s="1" t="str">
        <f t="shared" ca="1" si="3"/>
        <v/>
      </c>
      <c r="Y36" s="3" t="str">
        <f t="shared" ca="1" si="4"/>
        <v/>
      </c>
    </row>
    <row r="37" spans="1:25" s="3" customFormat="1" x14ac:dyDescent="0.4">
      <c r="A37" s="34" t="str">
        <f t="shared" si="5"/>
        <v/>
      </c>
      <c r="B37" s="15"/>
      <c r="C37" s="16"/>
      <c r="D37" s="5"/>
      <c r="E37" s="5"/>
      <c r="F37" s="79"/>
      <c r="G37" s="80"/>
      <c r="H37" s="80"/>
      <c r="I37" s="81"/>
      <c r="J37" s="16"/>
      <c r="K37" s="5"/>
      <c r="L37" s="5"/>
      <c r="M37" s="64"/>
      <c r="N37" s="65"/>
      <c r="O37" s="66"/>
      <c r="P37" s="17"/>
      <c r="Q37" s="50"/>
      <c r="R37" s="6"/>
      <c r="S37" s="58"/>
      <c r="T37" s="63" t="str">
        <f t="shared" ref="T37:T68" ca="1" si="7">IF(ISNA(VLOOKUP(E37,地址類別Mapping,2,FALSE)),"",VLOOKUP(E37,地址類別Mapping,2,FALSE))</f>
        <v/>
      </c>
      <c r="U37" s="3" t="str">
        <f t="shared" ca="1" si="1"/>
        <v/>
      </c>
      <c r="V37" s="3" t="str">
        <f t="shared" ca="1" si="6"/>
        <v/>
      </c>
      <c r="W37" s="1" t="str">
        <f t="shared" ca="1" si="2"/>
        <v/>
      </c>
      <c r="X37" s="1" t="str">
        <f t="shared" ca="1" si="3"/>
        <v/>
      </c>
      <c r="Y37" s="3" t="str">
        <f t="shared" ref="Y37:Y68" ca="1" si="8">IF(ISNA(VLOOKUP(B37,郵件種類MAPPING,2,FALSE)),"","203")</f>
        <v/>
      </c>
    </row>
    <row r="38" spans="1:25" s="3" customFormat="1" x14ac:dyDescent="0.4">
      <c r="A38" s="34" t="str">
        <f t="shared" si="5"/>
        <v/>
      </c>
      <c r="B38" s="15"/>
      <c r="C38" s="16"/>
      <c r="D38" s="5"/>
      <c r="E38" s="5"/>
      <c r="F38" s="79"/>
      <c r="G38" s="80"/>
      <c r="H38" s="80"/>
      <c r="I38" s="81"/>
      <c r="J38" s="16"/>
      <c r="K38" s="5"/>
      <c r="L38" s="5"/>
      <c r="M38" s="64"/>
      <c r="N38" s="65"/>
      <c r="O38" s="66"/>
      <c r="P38" s="17"/>
      <c r="Q38" s="50"/>
      <c r="R38" s="6"/>
      <c r="S38" s="58"/>
      <c r="T38" s="63" t="str">
        <f t="shared" ca="1" si="7"/>
        <v/>
      </c>
      <c r="U38" s="3" t="str">
        <f t="shared" ca="1" si="1"/>
        <v/>
      </c>
      <c r="V38" s="3" t="str">
        <f t="shared" ca="1" si="6"/>
        <v/>
      </c>
      <c r="W38" s="1" t="str">
        <f t="shared" ca="1" si="2"/>
        <v/>
      </c>
      <c r="X38" s="1" t="str">
        <f t="shared" ca="1" si="3"/>
        <v/>
      </c>
      <c r="Y38" s="3" t="str">
        <f t="shared" ca="1" si="8"/>
        <v/>
      </c>
    </row>
    <row r="39" spans="1:25" s="3" customFormat="1" x14ac:dyDescent="0.4">
      <c r="A39" s="34" t="str">
        <f t="shared" si="5"/>
        <v/>
      </c>
      <c r="B39" s="15"/>
      <c r="C39" s="16"/>
      <c r="D39" s="5"/>
      <c r="E39" s="5"/>
      <c r="F39" s="79"/>
      <c r="G39" s="80"/>
      <c r="H39" s="80"/>
      <c r="I39" s="81"/>
      <c r="J39" s="16"/>
      <c r="K39" s="5"/>
      <c r="L39" s="5"/>
      <c r="M39" s="64"/>
      <c r="N39" s="65"/>
      <c r="O39" s="66"/>
      <c r="P39" s="17"/>
      <c r="Q39" s="50"/>
      <c r="R39" s="6"/>
      <c r="S39" s="58"/>
      <c r="T39" s="63" t="str">
        <f t="shared" ca="1" si="7"/>
        <v/>
      </c>
      <c r="U39" s="3" t="str">
        <f t="shared" ca="1" si="1"/>
        <v/>
      </c>
      <c r="V39" s="3" t="str">
        <f t="shared" ca="1" si="6"/>
        <v/>
      </c>
      <c r="W39" s="1" t="str">
        <f t="shared" ca="1" si="2"/>
        <v/>
      </c>
      <c r="X39" s="1" t="str">
        <f t="shared" ca="1" si="3"/>
        <v/>
      </c>
      <c r="Y39" s="3" t="str">
        <f t="shared" ca="1" si="8"/>
        <v/>
      </c>
    </row>
    <row r="40" spans="1:25" s="3" customFormat="1" x14ac:dyDescent="0.4">
      <c r="A40" s="34" t="str">
        <f t="shared" si="5"/>
        <v/>
      </c>
      <c r="B40" s="15"/>
      <c r="C40" s="16"/>
      <c r="D40" s="5"/>
      <c r="E40" s="5"/>
      <c r="F40" s="79"/>
      <c r="G40" s="80"/>
      <c r="H40" s="80"/>
      <c r="I40" s="81"/>
      <c r="J40" s="16"/>
      <c r="K40" s="5"/>
      <c r="L40" s="5"/>
      <c r="M40" s="64"/>
      <c r="N40" s="65"/>
      <c r="O40" s="66"/>
      <c r="P40" s="17"/>
      <c r="Q40" s="50"/>
      <c r="R40" s="6"/>
      <c r="S40" s="58"/>
      <c r="T40" s="63" t="str">
        <f t="shared" ca="1" si="7"/>
        <v/>
      </c>
      <c r="U40" s="3" t="str">
        <f t="shared" ca="1" si="1"/>
        <v/>
      </c>
      <c r="V40" s="3" t="str">
        <f t="shared" ca="1" si="6"/>
        <v/>
      </c>
      <c r="W40" s="1" t="str">
        <f t="shared" ca="1" si="2"/>
        <v/>
      </c>
      <c r="X40" s="1" t="str">
        <f t="shared" ca="1" si="3"/>
        <v/>
      </c>
      <c r="Y40" s="3" t="str">
        <f t="shared" ca="1" si="8"/>
        <v/>
      </c>
    </row>
    <row r="41" spans="1:25" s="3" customFormat="1" x14ac:dyDescent="0.4">
      <c r="A41" s="34" t="str">
        <f t="shared" si="5"/>
        <v/>
      </c>
      <c r="B41" s="15"/>
      <c r="C41" s="16"/>
      <c r="D41" s="5"/>
      <c r="E41" s="5"/>
      <c r="F41" s="79"/>
      <c r="G41" s="80"/>
      <c r="H41" s="80"/>
      <c r="I41" s="81"/>
      <c r="J41" s="16"/>
      <c r="K41" s="5"/>
      <c r="L41" s="5"/>
      <c r="M41" s="64"/>
      <c r="N41" s="65"/>
      <c r="O41" s="66"/>
      <c r="P41" s="17"/>
      <c r="Q41" s="50"/>
      <c r="R41" s="6"/>
      <c r="S41" s="58"/>
      <c r="T41" s="63" t="str">
        <f t="shared" ca="1" si="7"/>
        <v/>
      </c>
      <c r="U41" s="3" t="str">
        <f t="shared" ca="1" si="1"/>
        <v/>
      </c>
      <c r="V41" s="3" t="str">
        <f t="shared" ca="1" si="6"/>
        <v/>
      </c>
      <c r="W41" s="1" t="str">
        <f t="shared" ca="1" si="2"/>
        <v/>
      </c>
      <c r="X41" s="1" t="str">
        <f t="shared" ca="1" si="3"/>
        <v/>
      </c>
      <c r="Y41" s="3" t="str">
        <f t="shared" ca="1" si="8"/>
        <v/>
      </c>
    </row>
    <row r="42" spans="1:25" s="3" customFormat="1" x14ac:dyDescent="0.4">
      <c r="A42" s="34" t="str">
        <f t="shared" si="5"/>
        <v/>
      </c>
      <c r="B42" s="15"/>
      <c r="C42" s="16"/>
      <c r="D42" s="5"/>
      <c r="E42" s="5"/>
      <c r="F42" s="79"/>
      <c r="G42" s="80"/>
      <c r="H42" s="80"/>
      <c r="I42" s="81"/>
      <c r="J42" s="16"/>
      <c r="K42" s="5"/>
      <c r="L42" s="5"/>
      <c r="M42" s="64"/>
      <c r="N42" s="65"/>
      <c r="O42" s="66"/>
      <c r="P42" s="17"/>
      <c r="Q42" s="50"/>
      <c r="R42" s="6"/>
      <c r="S42" s="58"/>
      <c r="T42" s="63" t="str">
        <f t="shared" ca="1" si="7"/>
        <v/>
      </c>
      <c r="U42" s="3" t="str">
        <f t="shared" ca="1" si="1"/>
        <v/>
      </c>
      <c r="V42" s="3" t="str">
        <f t="shared" ca="1" si="6"/>
        <v/>
      </c>
      <c r="W42" s="1" t="str">
        <f t="shared" ca="1" si="2"/>
        <v/>
      </c>
      <c r="X42" s="1" t="str">
        <f t="shared" ca="1" si="3"/>
        <v/>
      </c>
      <c r="Y42" s="3" t="str">
        <f t="shared" ca="1" si="8"/>
        <v/>
      </c>
    </row>
    <row r="43" spans="1:25" s="3" customFormat="1" x14ac:dyDescent="0.4">
      <c r="A43" s="34" t="str">
        <f t="shared" si="5"/>
        <v/>
      </c>
      <c r="B43" s="15"/>
      <c r="C43" s="16"/>
      <c r="D43" s="5"/>
      <c r="E43" s="5"/>
      <c r="F43" s="79"/>
      <c r="G43" s="80"/>
      <c r="H43" s="80"/>
      <c r="I43" s="81"/>
      <c r="J43" s="16"/>
      <c r="K43" s="5"/>
      <c r="L43" s="5"/>
      <c r="M43" s="64"/>
      <c r="N43" s="65"/>
      <c r="O43" s="66"/>
      <c r="P43" s="17"/>
      <c r="Q43" s="50"/>
      <c r="R43" s="6"/>
      <c r="S43" s="58"/>
      <c r="T43" s="63" t="str">
        <f t="shared" ca="1" si="7"/>
        <v/>
      </c>
      <c r="U43" s="3" t="str">
        <f t="shared" ca="1" si="1"/>
        <v/>
      </c>
      <c r="V43" s="3" t="str">
        <f t="shared" ca="1" si="6"/>
        <v/>
      </c>
      <c r="W43" s="1" t="str">
        <f t="shared" ca="1" si="2"/>
        <v/>
      </c>
      <c r="X43" s="1" t="str">
        <f t="shared" ca="1" si="3"/>
        <v/>
      </c>
      <c r="Y43" s="3" t="str">
        <f t="shared" ca="1" si="8"/>
        <v/>
      </c>
    </row>
    <row r="44" spans="1:25" s="3" customFormat="1" x14ac:dyDescent="0.4">
      <c r="A44" s="34" t="str">
        <f t="shared" si="5"/>
        <v/>
      </c>
      <c r="B44" s="15"/>
      <c r="C44" s="16"/>
      <c r="D44" s="5"/>
      <c r="E44" s="5"/>
      <c r="F44" s="79"/>
      <c r="G44" s="80"/>
      <c r="H44" s="80"/>
      <c r="I44" s="81"/>
      <c r="J44" s="16"/>
      <c r="K44" s="5"/>
      <c r="L44" s="5"/>
      <c r="M44" s="64"/>
      <c r="N44" s="65"/>
      <c r="O44" s="66"/>
      <c r="P44" s="17"/>
      <c r="Q44" s="50"/>
      <c r="R44" s="6"/>
      <c r="S44" s="58"/>
      <c r="T44" s="63" t="str">
        <f t="shared" ca="1" si="7"/>
        <v/>
      </c>
      <c r="U44" s="3" t="str">
        <f t="shared" ca="1" si="1"/>
        <v/>
      </c>
      <c r="V44" s="3" t="str">
        <f t="shared" ca="1" si="6"/>
        <v/>
      </c>
      <c r="W44" s="1" t="str">
        <f t="shared" ca="1" si="2"/>
        <v/>
      </c>
      <c r="X44" s="1" t="str">
        <f t="shared" ca="1" si="3"/>
        <v/>
      </c>
      <c r="Y44" s="3" t="str">
        <f t="shared" ca="1" si="8"/>
        <v/>
      </c>
    </row>
    <row r="45" spans="1:25" s="3" customFormat="1" x14ac:dyDescent="0.4">
      <c r="A45" s="34" t="str">
        <f t="shared" si="5"/>
        <v/>
      </c>
      <c r="B45" s="15"/>
      <c r="C45" s="16"/>
      <c r="D45" s="5"/>
      <c r="E45" s="5"/>
      <c r="F45" s="79"/>
      <c r="G45" s="80"/>
      <c r="H45" s="80"/>
      <c r="I45" s="81"/>
      <c r="J45" s="16"/>
      <c r="K45" s="5"/>
      <c r="L45" s="5"/>
      <c r="M45" s="64"/>
      <c r="N45" s="65"/>
      <c r="O45" s="66"/>
      <c r="P45" s="17"/>
      <c r="Q45" s="50"/>
      <c r="R45" s="6"/>
      <c r="S45" s="58"/>
      <c r="T45" s="63" t="str">
        <f t="shared" ca="1" si="7"/>
        <v/>
      </c>
      <c r="U45" s="3" t="str">
        <f t="shared" ca="1" si="1"/>
        <v/>
      </c>
      <c r="V45" s="3" t="str">
        <f t="shared" ca="1" si="6"/>
        <v/>
      </c>
      <c r="W45" s="1" t="str">
        <f t="shared" ca="1" si="2"/>
        <v/>
      </c>
      <c r="X45" s="1" t="str">
        <f t="shared" ca="1" si="3"/>
        <v/>
      </c>
      <c r="Y45" s="3" t="str">
        <f t="shared" ca="1" si="8"/>
        <v/>
      </c>
    </row>
    <row r="46" spans="1:25" s="3" customFormat="1" x14ac:dyDescent="0.4">
      <c r="A46" s="34" t="str">
        <f t="shared" si="5"/>
        <v/>
      </c>
      <c r="B46" s="15"/>
      <c r="C46" s="16"/>
      <c r="D46" s="5"/>
      <c r="E46" s="5"/>
      <c r="F46" s="79"/>
      <c r="G46" s="80"/>
      <c r="H46" s="80"/>
      <c r="I46" s="81"/>
      <c r="J46" s="16"/>
      <c r="K46" s="5"/>
      <c r="L46" s="5"/>
      <c r="M46" s="64"/>
      <c r="N46" s="65"/>
      <c r="O46" s="66"/>
      <c r="P46" s="17"/>
      <c r="Q46" s="50"/>
      <c r="R46" s="6"/>
      <c r="S46" s="58"/>
      <c r="T46" s="63" t="str">
        <f t="shared" ca="1" si="7"/>
        <v/>
      </c>
      <c r="U46" s="3" t="str">
        <f t="shared" ca="1" si="1"/>
        <v/>
      </c>
      <c r="V46" s="3" t="str">
        <f t="shared" ca="1" si="6"/>
        <v/>
      </c>
      <c r="W46" s="1" t="str">
        <f t="shared" ca="1" si="2"/>
        <v/>
      </c>
      <c r="X46" s="1" t="str">
        <f t="shared" ca="1" si="3"/>
        <v/>
      </c>
      <c r="Y46" s="3" t="str">
        <f t="shared" ca="1" si="8"/>
        <v/>
      </c>
    </row>
    <row r="47" spans="1:25" s="3" customFormat="1" x14ac:dyDescent="0.4">
      <c r="A47" s="34" t="str">
        <f t="shared" si="5"/>
        <v/>
      </c>
      <c r="B47" s="15"/>
      <c r="C47" s="16"/>
      <c r="D47" s="5"/>
      <c r="E47" s="5"/>
      <c r="F47" s="79"/>
      <c r="G47" s="80"/>
      <c r="H47" s="80"/>
      <c r="I47" s="81"/>
      <c r="J47" s="16"/>
      <c r="K47" s="5"/>
      <c r="L47" s="5"/>
      <c r="M47" s="64"/>
      <c r="N47" s="65"/>
      <c r="O47" s="66"/>
      <c r="P47" s="17"/>
      <c r="Q47" s="50"/>
      <c r="R47" s="6"/>
      <c r="S47" s="58"/>
      <c r="T47" s="63" t="str">
        <f t="shared" ca="1" si="7"/>
        <v/>
      </c>
      <c r="U47" s="3" t="str">
        <f t="shared" ca="1" si="1"/>
        <v/>
      </c>
      <c r="V47" s="3" t="str">
        <f t="shared" ca="1" si="6"/>
        <v/>
      </c>
      <c r="W47" s="1" t="str">
        <f t="shared" ca="1" si="2"/>
        <v/>
      </c>
      <c r="X47" s="1" t="str">
        <f t="shared" ca="1" si="3"/>
        <v/>
      </c>
      <c r="Y47" s="3" t="str">
        <f t="shared" ca="1" si="8"/>
        <v/>
      </c>
    </row>
    <row r="48" spans="1:25" s="3" customFormat="1" x14ac:dyDescent="0.4">
      <c r="A48" s="34" t="str">
        <f t="shared" si="5"/>
        <v/>
      </c>
      <c r="B48" s="15"/>
      <c r="C48" s="16"/>
      <c r="D48" s="5"/>
      <c r="E48" s="5"/>
      <c r="F48" s="79"/>
      <c r="G48" s="80"/>
      <c r="H48" s="80"/>
      <c r="I48" s="81"/>
      <c r="J48" s="16"/>
      <c r="K48" s="5"/>
      <c r="L48" s="5"/>
      <c r="M48" s="64"/>
      <c r="N48" s="65"/>
      <c r="O48" s="66"/>
      <c r="P48" s="17"/>
      <c r="Q48" s="50"/>
      <c r="R48" s="6"/>
      <c r="S48" s="58"/>
      <c r="T48" s="63" t="str">
        <f t="shared" ca="1" si="7"/>
        <v/>
      </c>
      <c r="U48" s="3" t="str">
        <f t="shared" ca="1" si="1"/>
        <v/>
      </c>
      <c r="V48" s="3" t="str">
        <f t="shared" ca="1" si="6"/>
        <v/>
      </c>
      <c r="W48" s="1" t="str">
        <f t="shared" ca="1" si="2"/>
        <v/>
      </c>
      <c r="X48" s="1" t="str">
        <f t="shared" ca="1" si="3"/>
        <v/>
      </c>
      <c r="Y48" s="3" t="str">
        <f t="shared" ca="1" si="8"/>
        <v/>
      </c>
    </row>
    <row r="49" spans="1:25" s="3" customFormat="1" x14ac:dyDescent="0.4">
      <c r="A49" s="34" t="str">
        <f t="shared" si="5"/>
        <v/>
      </c>
      <c r="B49" s="15"/>
      <c r="C49" s="16"/>
      <c r="D49" s="5"/>
      <c r="E49" s="5"/>
      <c r="F49" s="79"/>
      <c r="G49" s="80"/>
      <c r="H49" s="80"/>
      <c r="I49" s="81"/>
      <c r="J49" s="16"/>
      <c r="K49" s="5"/>
      <c r="L49" s="5"/>
      <c r="M49" s="64"/>
      <c r="N49" s="65"/>
      <c r="O49" s="66"/>
      <c r="P49" s="17"/>
      <c r="Q49" s="50"/>
      <c r="R49" s="6"/>
      <c r="S49" s="58"/>
      <c r="T49" s="63" t="str">
        <f t="shared" ca="1" si="7"/>
        <v/>
      </c>
      <c r="U49" s="3" t="str">
        <f t="shared" ca="1" si="1"/>
        <v/>
      </c>
      <c r="V49" s="3" t="str">
        <f t="shared" ca="1" si="6"/>
        <v/>
      </c>
      <c r="W49" s="1" t="str">
        <f t="shared" ca="1" si="2"/>
        <v/>
      </c>
      <c r="X49" s="1" t="str">
        <f t="shared" ca="1" si="3"/>
        <v/>
      </c>
      <c r="Y49" s="3" t="str">
        <f t="shared" ca="1" si="8"/>
        <v/>
      </c>
    </row>
    <row r="50" spans="1:25" s="3" customFormat="1" x14ac:dyDescent="0.4">
      <c r="A50" s="34" t="str">
        <f t="shared" si="5"/>
        <v/>
      </c>
      <c r="B50" s="15"/>
      <c r="C50" s="16"/>
      <c r="D50" s="5"/>
      <c r="E50" s="5"/>
      <c r="F50" s="79"/>
      <c r="G50" s="80"/>
      <c r="H50" s="80"/>
      <c r="I50" s="81"/>
      <c r="J50" s="16"/>
      <c r="K50" s="5"/>
      <c r="L50" s="5"/>
      <c r="M50" s="64"/>
      <c r="N50" s="65"/>
      <c r="O50" s="66"/>
      <c r="P50" s="17"/>
      <c r="Q50" s="50"/>
      <c r="R50" s="6"/>
      <c r="S50" s="58"/>
      <c r="T50" s="63" t="str">
        <f t="shared" ca="1" si="7"/>
        <v/>
      </c>
      <c r="U50" s="3" t="str">
        <f t="shared" ca="1" si="1"/>
        <v/>
      </c>
      <c r="V50" s="3" t="str">
        <f t="shared" ca="1" si="6"/>
        <v/>
      </c>
      <c r="W50" s="1" t="str">
        <f t="shared" ca="1" si="2"/>
        <v/>
      </c>
      <c r="X50" s="1" t="str">
        <f t="shared" ca="1" si="3"/>
        <v/>
      </c>
      <c r="Y50" s="3" t="str">
        <f t="shared" ca="1" si="8"/>
        <v/>
      </c>
    </row>
    <row r="51" spans="1:25" s="3" customFormat="1" x14ac:dyDescent="0.4">
      <c r="A51" s="34" t="str">
        <f t="shared" si="5"/>
        <v/>
      </c>
      <c r="B51" s="15"/>
      <c r="C51" s="16"/>
      <c r="D51" s="5"/>
      <c r="E51" s="5"/>
      <c r="F51" s="79"/>
      <c r="G51" s="80"/>
      <c r="H51" s="80"/>
      <c r="I51" s="81"/>
      <c r="J51" s="16"/>
      <c r="K51" s="5"/>
      <c r="L51" s="5"/>
      <c r="M51" s="64"/>
      <c r="N51" s="65"/>
      <c r="O51" s="66"/>
      <c r="P51" s="17"/>
      <c r="Q51" s="50"/>
      <c r="R51" s="6"/>
      <c r="S51" s="58"/>
      <c r="T51" s="63" t="str">
        <f t="shared" ca="1" si="7"/>
        <v/>
      </c>
      <c r="U51" s="3" t="str">
        <f t="shared" ca="1" si="1"/>
        <v/>
      </c>
      <c r="V51" s="3" t="str">
        <f t="shared" ca="1" si="6"/>
        <v/>
      </c>
      <c r="W51" s="1" t="str">
        <f t="shared" ca="1" si="2"/>
        <v/>
      </c>
      <c r="X51" s="1" t="str">
        <f t="shared" ca="1" si="3"/>
        <v/>
      </c>
      <c r="Y51" s="3" t="str">
        <f t="shared" ca="1" si="8"/>
        <v/>
      </c>
    </row>
    <row r="52" spans="1:25" s="3" customFormat="1" x14ac:dyDescent="0.4">
      <c r="A52" s="34" t="str">
        <f t="shared" si="5"/>
        <v/>
      </c>
      <c r="B52" s="15"/>
      <c r="C52" s="16"/>
      <c r="D52" s="5"/>
      <c r="E52" s="5"/>
      <c r="F52" s="79"/>
      <c r="G52" s="80"/>
      <c r="H52" s="80"/>
      <c r="I52" s="81"/>
      <c r="J52" s="16"/>
      <c r="K52" s="5"/>
      <c r="L52" s="5"/>
      <c r="M52" s="64"/>
      <c r="N52" s="65"/>
      <c r="O52" s="66"/>
      <c r="P52" s="17"/>
      <c r="Q52" s="50"/>
      <c r="R52" s="6"/>
      <c r="S52" s="58"/>
      <c r="T52" s="63" t="str">
        <f t="shared" ca="1" si="7"/>
        <v/>
      </c>
      <c r="U52" s="3" t="str">
        <f t="shared" ca="1" si="1"/>
        <v/>
      </c>
      <c r="V52" s="3" t="str">
        <f t="shared" ca="1" si="6"/>
        <v/>
      </c>
      <c r="W52" s="1" t="str">
        <f t="shared" ca="1" si="2"/>
        <v/>
      </c>
      <c r="X52" s="1" t="str">
        <f t="shared" ca="1" si="3"/>
        <v/>
      </c>
      <c r="Y52" s="3" t="str">
        <f t="shared" ca="1" si="8"/>
        <v/>
      </c>
    </row>
    <row r="53" spans="1:25" s="3" customFormat="1" x14ac:dyDescent="0.4">
      <c r="A53" s="34" t="str">
        <f t="shared" si="5"/>
        <v/>
      </c>
      <c r="B53" s="15"/>
      <c r="C53" s="16"/>
      <c r="D53" s="5"/>
      <c r="E53" s="5"/>
      <c r="F53" s="79"/>
      <c r="G53" s="80"/>
      <c r="H53" s="80"/>
      <c r="I53" s="81"/>
      <c r="J53" s="16"/>
      <c r="K53" s="5"/>
      <c r="L53" s="5"/>
      <c r="M53" s="64"/>
      <c r="N53" s="65"/>
      <c r="O53" s="66"/>
      <c r="P53" s="17"/>
      <c r="Q53" s="50"/>
      <c r="R53" s="6"/>
      <c r="S53" s="58"/>
      <c r="T53" s="63" t="str">
        <f t="shared" ca="1" si="7"/>
        <v/>
      </c>
      <c r="U53" s="3" t="str">
        <f t="shared" ca="1" si="1"/>
        <v/>
      </c>
      <c r="V53" s="3" t="str">
        <f t="shared" ca="1" si="6"/>
        <v/>
      </c>
      <c r="W53" s="1" t="str">
        <f t="shared" ca="1" si="2"/>
        <v/>
      </c>
      <c r="X53" s="1" t="str">
        <f t="shared" ca="1" si="3"/>
        <v/>
      </c>
      <c r="Y53" s="3" t="str">
        <f t="shared" ca="1" si="8"/>
        <v/>
      </c>
    </row>
    <row r="54" spans="1:25" s="3" customFormat="1" x14ac:dyDescent="0.4">
      <c r="A54" s="34" t="str">
        <f t="shared" si="5"/>
        <v/>
      </c>
      <c r="B54" s="15"/>
      <c r="C54" s="16"/>
      <c r="D54" s="5"/>
      <c r="E54" s="5"/>
      <c r="F54" s="79"/>
      <c r="G54" s="80"/>
      <c r="H54" s="80"/>
      <c r="I54" s="81"/>
      <c r="J54" s="16"/>
      <c r="K54" s="5"/>
      <c r="L54" s="5"/>
      <c r="M54" s="64"/>
      <c r="N54" s="65"/>
      <c r="O54" s="66"/>
      <c r="P54" s="17"/>
      <c r="Q54" s="50"/>
      <c r="R54" s="6"/>
      <c r="S54" s="58"/>
      <c r="T54" s="63" t="str">
        <f t="shared" ca="1" si="7"/>
        <v/>
      </c>
      <c r="U54" s="3" t="str">
        <f t="shared" ca="1" si="1"/>
        <v/>
      </c>
      <c r="V54" s="3" t="str">
        <f t="shared" ca="1" si="6"/>
        <v/>
      </c>
      <c r="W54" s="1" t="str">
        <f t="shared" ca="1" si="2"/>
        <v/>
      </c>
      <c r="X54" s="1" t="str">
        <f t="shared" ca="1" si="3"/>
        <v/>
      </c>
      <c r="Y54" s="3" t="str">
        <f t="shared" ca="1" si="8"/>
        <v/>
      </c>
    </row>
    <row r="55" spans="1:25" s="3" customFormat="1" x14ac:dyDescent="0.4">
      <c r="A55" s="34" t="str">
        <f t="shared" si="5"/>
        <v/>
      </c>
      <c r="B55" s="15"/>
      <c r="C55" s="16"/>
      <c r="D55" s="5"/>
      <c r="E55" s="5"/>
      <c r="F55" s="79"/>
      <c r="G55" s="80"/>
      <c r="H55" s="80"/>
      <c r="I55" s="81"/>
      <c r="J55" s="16"/>
      <c r="K55" s="5"/>
      <c r="L55" s="5"/>
      <c r="M55" s="64"/>
      <c r="N55" s="65"/>
      <c r="O55" s="66"/>
      <c r="P55" s="17"/>
      <c r="Q55" s="50"/>
      <c r="R55" s="6"/>
      <c r="S55" s="58"/>
      <c r="T55" s="63" t="str">
        <f t="shared" ca="1" si="7"/>
        <v/>
      </c>
      <c r="U55" s="3" t="str">
        <f t="shared" ca="1" si="1"/>
        <v/>
      </c>
      <c r="V55" s="3" t="str">
        <f t="shared" ca="1" si="6"/>
        <v/>
      </c>
      <c r="W55" s="1" t="str">
        <f t="shared" ca="1" si="2"/>
        <v/>
      </c>
      <c r="X55" s="1" t="str">
        <f t="shared" ca="1" si="3"/>
        <v/>
      </c>
      <c r="Y55" s="3" t="str">
        <f t="shared" ca="1" si="8"/>
        <v/>
      </c>
    </row>
    <row r="56" spans="1:25" s="3" customFormat="1" x14ac:dyDescent="0.4">
      <c r="A56" s="34" t="str">
        <f t="shared" si="5"/>
        <v/>
      </c>
      <c r="B56" s="15"/>
      <c r="C56" s="16"/>
      <c r="D56" s="5"/>
      <c r="E56" s="5"/>
      <c r="F56" s="79"/>
      <c r="G56" s="80"/>
      <c r="H56" s="80"/>
      <c r="I56" s="81"/>
      <c r="J56" s="16"/>
      <c r="K56" s="5"/>
      <c r="L56" s="5"/>
      <c r="M56" s="64"/>
      <c r="N56" s="65"/>
      <c r="O56" s="66"/>
      <c r="P56" s="17"/>
      <c r="Q56" s="50"/>
      <c r="R56" s="6"/>
      <c r="S56" s="58"/>
      <c r="T56" s="63" t="str">
        <f t="shared" ca="1" si="7"/>
        <v/>
      </c>
      <c r="U56" s="3" t="str">
        <f t="shared" ca="1" si="1"/>
        <v/>
      </c>
      <c r="V56" s="3" t="str">
        <f t="shared" ca="1" si="6"/>
        <v/>
      </c>
      <c r="W56" s="1" t="str">
        <f t="shared" ca="1" si="2"/>
        <v/>
      </c>
      <c r="X56" s="1" t="str">
        <f t="shared" ca="1" si="3"/>
        <v/>
      </c>
      <c r="Y56" s="3" t="str">
        <f t="shared" ca="1" si="8"/>
        <v/>
      </c>
    </row>
    <row r="57" spans="1:25" s="3" customFormat="1" x14ac:dyDescent="0.4">
      <c r="A57" s="34" t="str">
        <f t="shared" si="5"/>
        <v/>
      </c>
      <c r="B57" s="15"/>
      <c r="C57" s="16"/>
      <c r="D57" s="5"/>
      <c r="E57" s="5"/>
      <c r="F57" s="79"/>
      <c r="G57" s="80"/>
      <c r="H57" s="80"/>
      <c r="I57" s="81"/>
      <c r="J57" s="16"/>
      <c r="K57" s="5"/>
      <c r="L57" s="5"/>
      <c r="M57" s="64"/>
      <c r="N57" s="65"/>
      <c r="O57" s="66"/>
      <c r="P57" s="17"/>
      <c r="Q57" s="50"/>
      <c r="R57" s="6"/>
      <c r="S57" s="58"/>
      <c r="T57" s="63" t="str">
        <f t="shared" ca="1" si="7"/>
        <v/>
      </c>
      <c r="U57" s="3" t="str">
        <f t="shared" ca="1" si="1"/>
        <v/>
      </c>
      <c r="V57" s="3" t="str">
        <f t="shared" ca="1" si="6"/>
        <v/>
      </c>
      <c r="W57" s="1" t="str">
        <f t="shared" ca="1" si="2"/>
        <v/>
      </c>
      <c r="X57" s="1" t="str">
        <f t="shared" ca="1" si="3"/>
        <v/>
      </c>
      <c r="Y57" s="3" t="str">
        <f t="shared" ca="1" si="8"/>
        <v/>
      </c>
    </row>
    <row r="58" spans="1:25" s="3" customFormat="1" x14ac:dyDescent="0.4">
      <c r="A58" s="34" t="str">
        <f t="shared" si="5"/>
        <v/>
      </c>
      <c r="B58" s="15"/>
      <c r="C58" s="16"/>
      <c r="D58" s="5"/>
      <c r="E58" s="5"/>
      <c r="F58" s="79"/>
      <c r="G58" s="80"/>
      <c r="H58" s="80"/>
      <c r="I58" s="81"/>
      <c r="J58" s="16"/>
      <c r="K58" s="5"/>
      <c r="L58" s="5"/>
      <c r="M58" s="64"/>
      <c r="N58" s="65"/>
      <c r="O58" s="66"/>
      <c r="P58" s="17"/>
      <c r="Q58" s="50"/>
      <c r="R58" s="6"/>
      <c r="S58" s="58"/>
      <c r="T58" s="63" t="str">
        <f t="shared" ca="1" si="7"/>
        <v/>
      </c>
      <c r="U58" s="3" t="str">
        <f t="shared" ca="1" si="1"/>
        <v/>
      </c>
      <c r="V58" s="3" t="str">
        <f t="shared" ca="1" si="6"/>
        <v/>
      </c>
      <c r="W58" s="1" t="str">
        <f t="shared" ca="1" si="2"/>
        <v/>
      </c>
      <c r="X58" s="1" t="str">
        <f t="shared" ca="1" si="3"/>
        <v/>
      </c>
      <c r="Y58" s="3" t="str">
        <f t="shared" ca="1" si="8"/>
        <v/>
      </c>
    </row>
    <row r="59" spans="1:25" s="3" customFormat="1" x14ac:dyDescent="0.4">
      <c r="A59" s="34" t="str">
        <f t="shared" si="5"/>
        <v/>
      </c>
      <c r="B59" s="15"/>
      <c r="C59" s="16"/>
      <c r="D59" s="5"/>
      <c r="E59" s="5"/>
      <c r="F59" s="79"/>
      <c r="G59" s="80"/>
      <c r="H59" s="80"/>
      <c r="I59" s="81"/>
      <c r="J59" s="16"/>
      <c r="K59" s="5"/>
      <c r="L59" s="5"/>
      <c r="M59" s="64"/>
      <c r="N59" s="65"/>
      <c r="O59" s="66"/>
      <c r="P59" s="17"/>
      <c r="Q59" s="50"/>
      <c r="R59" s="6"/>
      <c r="S59" s="58"/>
      <c r="T59" s="63" t="str">
        <f t="shared" ca="1" si="7"/>
        <v/>
      </c>
      <c r="U59" s="3" t="str">
        <f t="shared" ca="1" si="1"/>
        <v/>
      </c>
      <c r="V59" s="3" t="str">
        <f t="shared" ca="1" si="6"/>
        <v/>
      </c>
      <c r="W59" s="1" t="str">
        <f t="shared" ca="1" si="2"/>
        <v/>
      </c>
      <c r="X59" s="1" t="str">
        <f t="shared" ca="1" si="3"/>
        <v/>
      </c>
      <c r="Y59" s="3" t="str">
        <f t="shared" ca="1" si="8"/>
        <v/>
      </c>
    </row>
    <row r="60" spans="1:25" s="3" customFormat="1" x14ac:dyDescent="0.4">
      <c r="A60" s="34" t="str">
        <f t="shared" si="5"/>
        <v/>
      </c>
      <c r="B60" s="15"/>
      <c r="C60" s="16"/>
      <c r="D60" s="5"/>
      <c r="E60" s="5"/>
      <c r="F60" s="79"/>
      <c r="G60" s="80"/>
      <c r="H60" s="80"/>
      <c r="I60" s="81"/>
      <c r="J60" s="16"/>
      <c r="K60" s="5"/>
      <c r="L60" s="5"/>
      <c r="M60" s="64"/>
      <c r="N60" s="65"/>
      <c r="O60" s="66"/>
      <c r="P60" s="17"/>
      <c r="Q60" s="50"/>
      <c r="R60" s="6"/>
      <c r="S60" s="58"/>
      <c r="T60" s="63" t="str">
        <f t="shared" ca="1" si="7"/>
        <v/>
      </c>
      <c r="U60" s="3" t="str">
        <f t="shared" ca="1" si="1"/>
        <v/>
      </c>
      <c r="V60" s="3" t="str">
        <f t="shared" ca="1" si="6"/>
        <v/>
      </c>
      <c r="W60" s="1" t="str">
        <f t="shared" ca="1" si="2"/>
        <v/>
      </c>
      <c r="X60" s="1" t="str">
        <f t="shared" ca="1" si="3"/>
        <v/>
      </c>
      <c r="Y60" s="3" t="str">
        <f t="shared" ca="1" si="8"/>
        <v/>
      </c>
    </row>
    <row r="61" spans="1:25" s="3" customFormat="1" x14ac:dyDescent="0.4">
      <c r="A61" s="34" t="str">
        <f t="shared" si="5"/>
        <v/>
      </c>
      <c r="B61" s="15"/>
      <c r="C61" s="16"/>
      <c r="D61" s="5"/>
      <c r="E61" s="5"/>
      <c r="F61" s="79"/>
      <c r="G61" s="80"/>
      <c r="H61" s="80"/>
      <c r="I61" s="81"/>
      <c r="J61" s="16"/>
      <c r="K61" s="5"/>
      <c r="L61" s="5"/>
      <c r="M61" s="64"/>
      <c r="N61" s="65"/>
      <c r="O61" s="66"/>
      <c r="P61" s="17"/>
      <c r="Q61" s="50"/>
      <c r="R61" s="6"/>
      <c r="S61" s="58"/>
      <c r="T61" s="63" t="str">
        <f t="shared" ca="1" si="7"/>
        <v/>
      </c>
      <c r="U61" s="3" t="str">
        <f t="shared" ca="1" si="1"/>
        <v/>
      </c>
      <c r="V61" s="3" t="str">
        <f t="shared" ca="1" si="6"/>
        <v/>
      </c>
      <c r="W61" s="1" t="str">
        <f t="shared" ca="1" si="2"/>
        <v/>
      </c>
      <c r="X61" s="1" t="str">
        <f t="shared" ca="1" si="3"/>
        <v/>
      </c>
      <c r="Y61" s="3" t="str">
        <f t="shared" ca="1" si="8"/>
        <v/>
      </c>
    </row>
    <row r="62" spans="1:25" s="3" customFormat="1" x14ac:dyDescent="0.4">
      <c r="A62" s="34" t="str">
        <f t="shared" si="5"/>
        <v/>
      </c>
      <c r="B62" s="15"/>
      <c r="C62" s="16"/>
      <c r="D62" s="5"/>
      <c r="E62" s="5"/>
      <c r="F62" s="79"/>
      <c r="G62" s="80"/>
      <c r="H62" s="80"/>
      <c r="I62" s="81"/>
      <c r="J62" s="16"/>
      <c r="K62" s="5"/>
      <c r="L62" s="5"/>
      <c r="M62" s="64"/>
      <c r="N62" s="65"/>
      <c r="O62" s="66"/>
      <c r="P62" s="17"/>
      <c r="Q62" s="50"/>
      <c r="R62" s="6"/>
      <c r="S62" s="58"/>
      <c r="T62" s="63" t="str">
        <f t="shared" ca="1" si="7"/>
        <v/>
      </c>
      <c r="U62" s="3" t="str">
        <f t="shared" ca="1" si="1"/>
        <v/>
      </c>
      <c r="V62" s="3" t="str">
        <f t="shared" ca="1" si="6"/>
        <v/>
      </c>
      <c r="W62" s="1" t="str">
        <f t="shared" ca="1" si="2"/>
        <v/>
      </c>
      <c r="X62" s="1" t="str">
        <f t="shared" ca="1" si="3"/>
        <v/>
      </c>
      <c r="Y62" s="3" t="str">
        <f t="shared" ca="1" si="8"/>
        <v/>
      </c>
    </row>
    <row r="63" spans="1:25" s="3" customFormat="1" x14ac:dyDescent="0.4">
      <c r="A63" s="34" t="str">
        <f t="shared" si="5"/>
        <v/>
      </c>
      <c r="B63" s="15"/>
      <c r="C63" s="16"/>
      <c r="D63" s="5"/>
      <c r="E63" s="5"/>
      <c r="F63" s="79"/>
      <c r="G63" s="80"/>
      <c r="H63" s="80"/>
      <c r="I63" s="81"/>
      <c r="J63" s="16"/>
      <c r="K63" s="5"/>
      <c r="L63" s="5"/>
      <c r="M63" s="64"/>
      <c r="N63" s="65"/>
      <c r="O63" s="66"/>
      <c r="P63" s="17"/>
      <c r="Q63" s="50"/>
      <c r="R63" s="6"/>
      <c r="S63" s="58"/>
      <c r="T63" s="63" t="str">
        <f t="shared" ca="1" si="7"/>
        <v/>
      </c>
      <c r="U63" s="3" t="str">
        <f t="shared" ca="1" si="1"/>
        <v/>
      </c>
      <c r="V63" s="3" t="str">
        <f t="shared" ca="1" si="6"/>
        <v/>
      </c>
      <c r="W63" s="1" t="str">
        <f t="shared" ca="1" si="2"/>
        <v/>
      </c>
      <c r="X63" s="1" t="str">
        <f t="shared" ca="1" si="3"/>
        <v/>
      </c>
      <c r="Y63" s="3" t="str">
        <f t="shared" ca="1" si="8"/>
        <v/>
      </c>
    </row>
    <row r="64" spans="1:25" s="3" customFormat="1" x14ac:dyDescent="0.4">
      <c r="A64" s="34" t="str">
        <f t="shared" si="5"/>
        <v/>
      </c>
      <c r="B64" s="15"/>
      <c r="C64" s="16"/>
      <c r="D64" s="5"/>
      <c r="E64" s="5"/>
      <c r="F64" s="79"/>
      <c r="G64" s="80"/>
      <c r="H64" s="80"/>
      <c r="I64" s="81"/>
      <c r="J64" s="16"/>
      <c r="K64" s="5"/>
      <c r="L64" s="5"/>
      <c r="M64" s="64"/>
      <c r="N64" s="65"/>
      <c r="O64" s="66"/>
      <c r="P64" s="17"/>
      <c r="Q64" s="50"/>
      <c r="R64" s="6"/>
      <c r="S64" s="58"/>
      <c r="T64" s="63" t="str">
        <f t="shared" ca="1" si="7"/>
        <v/>
      </c>
      <c r="U64" s="3" t="str">
        <f t="shared" ca="1" si="1"/>
        <v/>
      </c>
      <c r="V64" s="3" t="str">
        <f t="shared" ca="1" si="6"/>
        <v/>
      </c>
      <c r="W64" s="1" t="str">
        <f t="shared" ca="1" si="2"/>
        <v/>
      </c>
      <c r="X64" s="1" t="str">
        <f t="shared" ca="1" si="3"/>
        <v/>
      </c>
      <c r="Y64" s="3" t="str">
        <f t="shared" ca="1" si="8"/>
        <v/>
      </c>
    </row>
    <row r="65" spans="1:25" s="3" customFormat="1" x14ac:dyDescent="0.4">
      <c r="A65" s="34" t="str">
        <f t="shared" si="5"/>
        <v/>
      </c>
      <c r="B65" s="15"/>
      <c r="C65" s="16"/>
      <c r="D65" s="5"/>
      <c r="E65" s="5"/>
      <c r="F65" s="79"/>
      <c r="G65" s="80"/>
      <c r="H65" s="80"/>
      <c r="I65" s="81"/>
      <c r="J65" s="16"/>
      <c r="K65" s="5"/>
      <c r="L65" s="5"/>
      <c r="M65" s="64"/>
      <c r="N65" s="65"/>
      <c r="O65" s="66"/>
      <c r="P65" s="17"/>
      <c r="Q65" s="50"/>
      <c r="R65" s="6"/>
      <c r="S65" s="58"/>
      <c r="T65" s="63" t="str">
        <f t="shared" ca="1" si="7"/>
        <v/>
      </c>
      <c r="U65" s="3" t="str">
        <f t="shared" ca="1" si="1"/>
        <v/>
      </c>
      <c r="V65" s="3" t="str">
        <f t="shared" ca="1" si="6"/>
        <v/>
      </c>
      <c r="W65" s="1" t="str">
        <f t="shared" ca="1" si="2"/>
        <v/>
      </c>
      <c r="X65" s="1" t="str">
        <f t="shared" ca="1" si="3"/>
        <v/>
      </c>
      <c r="Y65" s="3" t="str">
        <f t="shared" ca="1" si="8"/>
        <v/>
      </c>
    </row>
    <row r="66" spans="1:25" s="3" customFormat="1" x14ac:dyDescent="0.4">
      <c r="A66" s="34" t="str">
        <f t="shared" si="5"/>
        <v/>
      </c>
      <c r="B66" s="15"/>
      <c r="C66" s="16"/>
      <c r="D66" s="5"/>
      <c r="E66" s="5"/>
      <c r="F66" s="79"/>
      <c r="G66" s="80"/>
      <c r="H66" s="80"/>
      <c r="I66" s="81"/>
      <c r="J66" s="16"/>
      <c r="K66" s="5"/>
      <c r="L66" s="5"/>
      <c r="M66" s="64"/>
      <c r="N66" s="65"/>
      <c r="O66" s="66"/>
      <c r="P66" s="17"/>
      <c r="Q66" s="50"/>
      <c r="R66" s="6"/>
      <c r="S66" s="58"/>
      <c r="T66" s="63" t="str">
        <f t="shared" ca="1" si="7"/>
        <v/>
      </c>
      <c r="U66" s="3" t="str">
        <f t="shared" ca="1" si="1"/>
        <v/>
      </c>
      <c r="V66" s="3" t="str">
        <f t="shared" ca="1" si="6"/>
        <v/>
      </c>
      <c r="W66" s="1" t="str">
        <f t="shared" ca="1" si="2"/>
        <v/>
      </c>
      <c r="X66" s="1" t="str">
        <f t="shared" ca="1" si="3"/>
        <v/>
      </c>
      <c r="Y66" s="3" t="str">
        <f t="shared" ca="1" si="8"/>
        <v/>
      </c>
    </row>
    <row r="67" spans="1:25" s="3" customFormat="1" x14ac:dyDescent="0.4">
      <c r="A67" s="34" t="str">
        <f t="shared" si="5"/>
        <v/>
      </c>
      <c r="B67" s="15"/>
      <c r="C67" s="16"/>
      <c r="D67" s="5"/>
      <c r="E67" s="5"/>
      <c r="F67" s="79"/>
      <c r="G67" s="80"/>
      <c r="H67" s="80"/>
      <c r="I67" s="81"/>
      <c r="J67" s="16"/>
      <c r="K67" s="5"/>
      <c r="L67" s="5"/>
      <c r="M67" s="64"/>
      <c r="N67" s="65"/>
      <c r="O67" s="66"/>
      <c r="P67" s="17"/>
      <c r="Q67" s="50"/>
      <c r="R67" s="6"/>
      <c r="S67" s="58"/>
      <c r="T67" s="63" t="str">
        <f t="shared" ca="1" si="7"/>
        <v/>
      </c>
      <c r="U67" s="3" t="str">
        <f t="shared" ca="1" si="1"/>
        <v/>
      </c>
      <c r="V67" s="3" t="str">
        <f t="shared" ca="1" si="6"/>
        <v/>
      </c>
      <c r="W67" s="1" t="str">
        <f t="shared" ca="1" si="2"/>
        <v/>
      </c>
      <c r="X67" s="1" t="str">
        <f t="shared" ca="1" si="3"/>
        <v/>
      </c>
      <c r="Y67" s="3" t="str">
        <f t="shared" ca="1" si="8"/>
        <v/>
      </c>
    </row>
    <row r="68" spans="1:25" s="3" customFormat="1" x14ac:dyDescent="0.4">
      <c r="A68" s="34" t="str">
        <f t="shared" si="5"/>
        <v/>
      </c>
      <c r="B68" s="15"/>
      <c r="C68" s="16"/>
      <c r="D68" s="5"/>
      <c r="E68" s="5"/>
      <c r="F68" s="79"/>
      <c r="G68" s="80"/>
      <c r="H68" s="80"/>
      <c r="I68" s="81"/>
      <c r="J68" s="16"/>
      <c r="K68" s="5"/>
      <c r="L68" s="5"/>
      <c r="M68" s="64"/>
      <c r="N68" s="65"/>
      <c r="O68" s="66"/>
      <c r="P68" s="17"/>
      <c r="Q68" s="50"/>
      <c r="R68" s="6"/>
      <c r="S68" s="58"/>
      <c r="T68" s="63" t="str">
        <f t="shared" ca="1" si="7"/>
        <v/>
      </c>
      <c r="U68" s="3" t="str">
        <f t="shared" ca="1" si="1"/>
        <v/>
      </c>
      <c r="V68" s="3" t="str">
        <f t="shared" ca="1" si="6"/>
        <v/>
      </c>
      <c r="W68" s="1" t="str">
        <f t="shared" ca="1" si="2"/>
        <v/>
      </c>
      <c r="X68" s="1" t="str">
        <f t="shared" ca="1" si="3"/>
        <v/>
      </c>
      <c r="Y68" s="3" t="str">
        <f t="shared" ca="1" si="8"/>
        <v/>
      </c>
    </row>
    <row r="69" spans="1:25" s="3" customFormat="1" x14ac:dyDescent="0.4">
      <c r="A69" s="34" t="str">
        <f t="shared" si="5"/>
        <v/>
      </c>
      <c r="B69" s="15"/>
      <c r="C69" s="16"/>
      <c r="D69" s="5"/>
      <c r="E69" s="5"/>
      <c r="F69" s="79"/>
      <c r="G69" s="80"/>
      <c r="H69" s="80"/>
      <c r="I69" s="81"/>
      <c r="J69" s="16"/>
      <c r="K69" s="5"/>
      <c r="L69" s="5"/>
      <c r="M69" s="64"/>
      <c r="N69" s="65"/>
      <c r="O69" s="66"/>
      <c r="P69" s="17"/>
      <c r="Q69" s="50"/>
      <c r="R69" s="6"/>
      <c r="S69" s="58"/>
      <c r="T69" s="63" t="str">
        <f t="shared" ref="T69:T100" ca="1" si="9">IF(ISNA(VLOOKUP(E69,地址類別Mapping,2,FALSE)),"",VLOOKUP(E69,地址類別Mapping,2,FALSE))</f>
        <v/>
      </c>
      <c r="U69" s="3" t="str">
        <f t="shared" ref="U69:U132" ca="1" si="10">IF(ISNA(VLOOKUP(F69&amp;"-"&amp;G69,郵遞區號,2,FALSE)),"",VLOOKUP(F69&amp;"-"&amp;G69,郵遞區號,2,FALSE))</f>
        <v/>
      </c>
      <c r="V69" s="3" t="str">
        <f t="shared" ref="V69:V132" ca="1" si="11">IF(ISNA(VLOOKUP(M69&amp;"-"&amp;N69,郵遞區號,2,FALSE)),"",VLOOKUP(M69&amp;"-"&amp;N69,郵遞區號,2,FALSE))</f>
        <v/>
      </c>
      <c r="W69" s="1" t="str">
        <f t="shared" ref="W69:W132" ca="1" si="12">IF(ISNA(VLOOKUP(B69,郵件種類MAPPING,2,FALSE)),"",VLOOKUP(B69,郵件種類MAPPING,2,FALSE))</f>
        <v/>
      </c>
      <c r="X69" s="1" t="str">
        <f t="shared" ref="X69:X132" ca="1" si="13">IF(ISNA(VLOOKUP(R69,箱袋種類Mapping,2,FALSE)),"",VLOOKUP(R69,箱袋種類Mapping,2,FALSE))</f>
        <v/>
      </c>
      <c r="Y69" s="3" t="str">
        <f t="shared" ref="Y69:Y100" ca="1" si="14">IF(ISNA(VLOOKUP(B69,郵件種類MAPPING,2,FALSE)),"","203")</f>
        <v/>
      </c>
    </row>
    <row r="70" spans="1:25" s="3" customFormat="1" x14ac:dyDescent="0.4">
      <c r="A70" s="34" t="str">
        <f t="shared" ref="A70:A133" si="15">IF(NOT(COUNTA(B70:I70)),"",ROW()-4)</f>
        <v/>
      </c>
      <c r="B70" s="15"/>
      <c r="C70" s="16"/>
      <c r="D70" s="5"/>
      <c r="E70" s="5"/>
      <c r="F70" s="79"/>
      <c r="G70" s="80"/>
      <c r="H70" s="80"/>
      <c r="I70" s="81"/>
      <c r="J70" s="16"/>
      <c r="K70" s="5"/>
      <c r="L70" s="5"/>
      <c r="M70" s="64"/>
      <c r="N70" s="65"/>
      <c r="O70" s="66"/>
      <c r="P70" s="17"/>
      <c r="Q70" s="50"/>
      <c r="R70" s="6"/>
      <c r="S70" s="58"/>
      <c r="T70" s="63" t="str">
        <f t="shared" ca="1" si="9"/>
        <v/>
      </c>
      <c r="U70" s="3" t="str">
        <f t="shared" ca="1" si="10"/>
        <v/>
      </c>
      <c r="V70" s="3" t="str">
        <f t="shared" ca="1" si="11"/>
        <v/>
      </c>
      <c r="W70" s="1" t="str">
        <f t="shared" ca="1" si="12"/>
        <v/>
      </c>
      <c r="X70" s="1" t="str">
        <f t="shared" ca="1" si="13"/>
        <v/>
      </c>
      <c r="Y70" s="3" t="str">
        <f t="shared" ca="1" si="14"/>
        <v/>
      </c>
    </row>
    <row r="71" spans="1:25" s="3" customFormat="1" x14ac:dyDescent="0.4">
      <c r="A71" s="34" t="str">
        <f t="shared" si="15"/>
        <v/>
      </c>
      <c r="B71" s="15"/>
      <c r="C71" s="16"/>
      <c r="D71" s="5"/>
      <c r="E71" s="5"/>
      <c r="F71" s="79"/>
      <c r="G71" s="80"/>
      <c r="H71" s="80"/>
      <c r="I71" s="81"/>
      <c r="J71" s="16"/>
      <c r="K71" s="5"/>
      <c r="L71" s="5"/>
      <c r="M71" s="64"/>
      <c r="N71" s="65"/>
      <c r="O71" s="66"/>
      <c r="P71" s="17"/>
      <c r="Q71" s="50"/>
      <c r="R71" s="6"/>
      <c r="S71" s="58"/>
      <c r="T71" s="63" t="str">
        <f t="shared" ca="1" si="9"/>
        <v/>
      </c>
      <c r="U71" s="3" t="str">
        <f t="shared" ca="1" si="10"/>
        <v/>
      </c>
      <c r="V71" s="3" t="str">
        <f t="shared" ca="1" si="11"/>
        <v/>
      </c>
      <c r="W71" s="1" t="str">
        <f t="shared" ca="1" si="12"/>
        <v/>
      </c>
      <c r="X71" s="1" t="str">
        <f t="shared" ca="1" si="13"/>
        <v/>
      </c>
      <c r="Y71" s="3" t="str">
        <f t="shared" ca="1" si="14"/>
        <v/>
      </c>
    </row>
    <row r="72" spans="1:25" s="3" customFormat="1" x14ac:dyDescent="0.4">
      <c r="A72" s="34" t="str">
        <f t="shared" si="15"/>
        <v/>
      </c>
      <c r="B72" s="15"/>
      <c r="C72" s="16"/>
      <c r="D72" s="5"/>
      <c r="E72" s="5"/>
      <c r="F72" s="79"/>
      <c r="G72" s="80"/>
      <c r="H72" s="80"/>
      <c r="I72" s="81"/>
      <c r="J72" s="16"/>
      <c r="K72" s="5"/>
      <c r="L72" s="5"/>
      <c r="M72" s="64"/>
      <c r="N72" s="65"/>
      <c r="O72" s="66"/>
      <c r="P72" s="17"/>
      <c r="Q72" s="50"/>
      <c r="R72" s="6"/>
      <c r="S72" s="58"/>
      <c r="T72" s="63" t="str">
        <f t="shared" ca="1" si="9"/>
        <v/>
      </c>
      <c r="U72" s="3" t="str">
        <f t="shared" ca="1" si="10"/>
        <v/>
      </c>
      <c r="V72" s="3" t="str">
        <f t="shared" ca="1" si="11"/>
        <v/>
      </c>
      <c r="W72" s="1" t="str">
        <f t="shared" ca="1" si="12"/>
        <v/>
      </c>
      <c r="X72" s="1" t="str">
        <f t="shared" ca="1" si="13"/>
        <v/>
      </c>
      <c r="Y72" s="3" t="str">
        <f t="shared" ca="1" si="14"/>
        <v/>
      </c>
    </row>
    <row r="73" spans="1:25" s="3" customFormat="1" x14ac:dyDescent="0.4">
      <c r="A73" s="34" t="str">
        <f t="shared" si="15"/>
        <v/>
      </c>
      <c r="B73" s="15"/>
      <c r="C73" s="16"/>
      <c r="D73" s="5"/>
      <c r="E73" s="5"/>
      <c r="F73" s="79"/>
      <c r="G73" s="80"/>
      <c r="H73" s="80"/>
      <c r="I73" s="81"/>
      <c r="J73" s="16"/>
      <c r="K73" s="5"/>
      <c r="L73" s="5"/>
      <c r="M73" s="64"/>
      <c r="N73" s="65"/>
      <c r="O73" s="66"/>
      <c r="P73" s="17"/>
      <c r="Q73" s="50"/>
      <c r="R73" s="6"/>
      <c r="S73" s="58"/>
      <c r="T73" s="63" t="str">
        <f t="shared" ca="1" si="9"/>
        <v/>
      </c>
      <c r="U73" s="3" t="str">
        <f t="shared" ca="1" si="10"/>
        <v/>
      </c>
      <c r="V73" s="3" t="str">
        <f t="shared" ca="1" si="11"/>
        <v/>
      </c>
      <c r="W73" s="1" t="str">
        <f t="shared" ca="1" si="12"/>
        <v/>
      </c>
      <c r="X73" s="1" t="str">
        <f t="shared" ca="1" si="13"/>
        <v/>
      </c>
      <c r="Y73" s="3" t="str">
        <f t="shared" ca="1" si="14"/>
        <v/>
      </c>
    </row>
    <row r="74" spans="1:25" s="3" customFormat="1" x14ac:dyDescent="0.4">
      <c r="A74" s="34" t="str">
        <f t="shared" si="15"/>
        <v/>
      </c>
      <c r="B74" s="15"/>
      <c r="C74" s="16"/>
      <c r="D74" s="5"/>
      <c r="E74" s="5"/>
      <c r="F74" s="79"/>
      <c r="G74" s="80"/>
      <c r="H74" s="80"/>
      <c r="I74" s="81"/>
      <c r="J74" s="16"/>
      <c r="K74" s="5"/>
      <c r="L74" s="5"/>
      <c r="M74" s="64"/>
      <c r="N74" s="65"/>
      <c r="O74" s="66"/>
      <c r="P74" s="17"/>
      <c r="Q74" s="50"/>
      <c r="R74" s="6"/>
      <c r="S74" s="58"/>
      <c r="T74" s="63" t="str">
        <f t="shared" ca="1" si="9"/>
        <v/>
      </c>
      <c r="U74" s="3" t="str">
        <f t="shared" ca="1" si="10"/>
        <v/>
      </c>
      <c r="V74" s="3" t="str">
        <f t="shared" ca="1" si="11"/>
        <v/>
      </c>
      <c r="W74" s="1" t="str">
        <f t="shared" ca="1" si="12"/>
        <v/>
      </c>
      <c r="X74" s="1" t="str">
        <f t="shared" ca="1" si="13"/>
        <v/>
      </c>
      <c r="Y74" s="3" t="str">
        <f t="shared" ca="1" si="14"/>
        <v/>
      </c>
    </row>
    <row r="75" spans="1:25" s="3" customFormat="1" x14ac:dyDescent="0.4">
      <c r="A75" s="34" t="str">
        <f t="shared" si="15"/>
        <v/>
      </c>
      <c r="B75" s="15"/>
      <c r="C75" s="16"/>
      <c r="D75" s="5"/>
      <c r="E75" s="5"/>
      <c r="F75" s="79"/>
      <c r="G75" s="80"/>
      <c r="H75" s="80"/>
      <c r="I75" s="81"/>
      <c r="J75" s="16"/>
      <c r="K75" s="5"/>
      <c r="L75" s="5"/>
      <c r="M75" s="64"/>
      <c r="N75" s="65"/>
      <c r="O75" s="66"/>
      <c r="P75" s="17"/>
      <c r="Q75" s="50"/>
      <c r="R75" s="6"/>
      <c r="S75" s="58"/>
      <c r="T75" s="63" t="str">
        <f t="shared" ca="1" si="9"/>
        <v/>
      </c>
      <c r="U75" s="3" t="str">
        <f t="shared" ca="1" si="10"/>
        <v/>
      </c>
      <c r="V75" s="3" t="str">
        <f t="shared" ca="1" si="11"/>
        <v/>
      </c>
      <c r="W75" s="1" t="str">
        <f t="shared" ca="1" si="12"/>
        <v/>
      </c>
      <c r="X75" s="1" t="str">
        <f t="shared" ca="1" si="13"/>
        <v/>
      </c>
      <c r="Y75" s="3" t="str">
        <f t="shared" ca="1" si="14"/>
        <v/>
      </c>
    </row>
    <row r="76" spans="1:25" s="3" customFormat="1" x14ac:dyDescent="0.4">
      <c r="A76" s="34" t="str">
        <f t="shared" si="15"/>
        <v/>
      </c>
      <c r="B76" s="15"/>
      <c r="C76" s="16"/>
      <c r="D76" s="5"/>
      <c r="E76" s="5"/>
      <c r="F76" s="79"/>
      <c r="G76" s="80"/>
      <c r="H76" s="80"/>
      <c r="I76" s="81"/>
      <c r="J76" s="16"/>
      <c r="K76" s="5"/>
      <c r="L76" s="5"/>
      <c r="M76" s="64"/>
      <c r="N76" s="65"/>
      <c r="O76" s="66"/>
      <c r="P76" s="17"/>
      <c r="Q76" s="50"/>
      <c r="R76" s="6"/>
      <c r="S76" s="58"/>
      <c r="T76" s="63" t="str">
        <f t="shared" ca="1" si="9"/>
        <v/>
      </c>
      <c r="U76" s="3" t="str">
        <f t="shared" ca="1" si="10"/>
        <v/>
      </c>
      <c r="V76" s="3" t="str">
        <f t="shared" ca="1" si="11"/>
        <v/>
      </c>
      <c r="W76" s="1" t="str">
        <f t="shared" ca="1" si="12"/>
        <v/>
      </c>
      <c r="X76" s="1" t="str">
        <f t="shared" ca="1" si="13"/>
        <v/>
      </c>
      <c r="Y76" s="3" t="str">
        <f t="shared" ca="1" si="14"/>
        <v/>
      </c>
    </row>
    <row r="77" spans="1:25" s="3" customFormat="1" x14ac:dyDescent="0.4">
      <c r="A77" s="34" t="str">
        <f t="shared" si="15"/>
        <v/>
      </c>
      <c r="B77" s="15"/>
      <c r="C77" s="16"/>
      <c r="D77" s="5"/>
      <c r="E77" s="5"/>
      <c r="F77" s="79"/>
      <c r="G77" s="80"/>
      <c r="H77" s="80"/>
      <c r="I77" s="81"/>
      <c r="J77" s="16"/>
      <c r="K77" s="5"/>
      <c r="L77" s="5"/>
      <c r="M77" s="64"/>
      <c r="N77" s="65"/>
      <c r="O77" s="66"/>
      <c r="P77" s="17"/>
      <c r="Q77" s="50"/>
      <c r="R77" s="6"/>
      <c r="S77" s="58"/>
      <c r="T77" s="63" t="str">
        <f t="shared" ca="1" si="9"/>
        <v/>
      </c>
      <c r="U77" s="3" t="str">
        <f t="shared" ca="1" si="10"/>
        <v/>
      </c>
      <c r="V77" s="3" t="str">
        <f t="shared" ca="1" si="11"/>
        <v/>
      </c>
      <c r="W77" s="1" t="str">
        <f t="shared" ca="1" si="12"/>
        <v/>
      </c>
      <c r="X77" s="1" t="str">
        <f t="shared" ca="1" si="13"/>
        <v/>
      </c>
      <c r="Y77" s="3" t="str">
        <f t="shared" ca="1" si="14"/>
        <v/>
      </c>
    </row>
    <row r="78" spans="1:25" s="3" customFormat="1" x14ac:dyDescent="0.4">
      <c r="A78" s="34" t="str">
        <f t="shared" si="15"/>
        <v/>
      </c>
      <c r="B78" s="15"/>
      <c r="C78" s="16"/>
      <c r="D78" s="5"/>
      <c r="E78" s="5"/>
      <c r="F78" s="79"/>
      <c r="G78" s="80"/>
      <c r="H78" s="80"/>
      <c r="I78" s="81"/>
      <c r="J78" s="16"/>
      <c r="K78" s="5"/>
      <c r="L78" s="5"/>
      <c r="M78" s="64"/>
      <c r="N78" s="65"/>
      <c r="O78" s="66"/>
      <c r="P78" s="17"/>
      <c r="Q78" s="50"/>
      <c r="R78" s="6"/>
      <c r="S78" s="58"/>
      <c r="T78" s="63" t="str">
        <f t="shared" ca="1" si="9"/>
        <v/>
      </c>
      <c r="U78" s="3" t="str">
        <f t="shared" ca="1" si="10"/>
        <v/>
      </c>
      <c r="V78" s="3" t="str">
        <f t="shared" ca="1" si="11"/>
        <v/>
      </c>
      <c r="W78" s="1" t="str">
        <f t="shared" ca="1" si="12"/>
        <v/>
      </c>
      <c r="X78" s="1" t="str">
        <f t="shared" ca="1" si="13"/>
        <v/>
      </c>
      <c r="Y78" s="3" t="str">
        <f t="shared" ca="1" si="14"/>
        <v/>
      </c>
    </row>
    <row r="79" spans="1:25" s="3" customFormat="1" x14ac:dyDescent="0.4">
      <c r="A79" s="34" t="str">
        <f t="shared" si="15"/>
        <v/>
      </c>
      <c r="B79" s="15"/>
      <c r="C79" s="16"/>
      <c r="D79" s="5"/>
      <c r="E79" s="5"/>
      <c r="F79" s="79"/>
      <c r="G79" s="80"/>
      <c r="H79" s="80"/>
      <c r="I79" s="81"/>
      <c r="J79" s="16"/>
      <c r="K79" s="5"/>
      <c r="L79" s="5"/>
      <c r="M79" s="64"/>
      <c r="N79" s="65"/>
      <c r="O79" s="66"/>
      <c r="P79" s="17"/>
      <c r="Q79" s="50"/>
      <c r="R79" s="6"/>
      <c r="S79" s="58"/>
      <c r="T79" s="63" t="str">
        <f t="shared" ca="1" si="9"/>
        <v/>
      </c>
      <c r="U79" s="3" t="str">
        <f t="shared" ca="1" si="10"/>
        <v/>
      </c>
      <c r="V79" s="3" t="str">
        <f t="shared" ca="1" si="11"/>
        <v/>
      </c>
      <c r="W79" s="1" t="str">
        <f t="shared" ca="1" si="12"/>
        <v/>
      </c>
      <c r="X79" s="1" t="str">
        <f t="shared" ca="1" si="13"/>
        <v/>
      </c>
      <c r="Y79" s="3" t="str">
        <f t="shared" ca="1" si="14"/>
        <v/>
      </c>
    </row>
    <row r="80" spans="1:25" s="3" customFormat="1" x14ac:dyDescent="0.4">
      <c r="A80" s="34" t="str">
        <f t="shared" si="15"/>
        <v/>
      </c>
      <c r="B80" s="15"/>
      <c r="C80" s="16"/>
      <c r="D80" s="5"/>
      <c r="E80" s="5"/>
      <c r="F80" s="79"/>
      <c r="G80" s="80"/>
      <c r="H80" s="80"/>
      <c r="I80" s="81"/>
      <c r="J80" s="16"/>
      <c r="K80" s="5"/>
      <c r="L80" s="5"/>
      <c r="M80" s="64"/>
      <c r="N80" s="65"/>
      <c r="O80" s="66"/>
      <c r="P80" s="17"/>
      <c r="Q80" s="50"/>
      <c r="R80" s="6"/>
      <c r="S80" s="58"/>
      <c r="T80" s="63" t="str">
        <f t="shared" ca="1" si="9"/>
        <v/>
      </c>
      <c r="U80" s="3" t="str">
        <f t="shared" ca="1" si="10"/>
        <v/>
      </c>
      <c r="V80" s="3" t="str">
        <f t="shared" ca="1" si="11"/>
        <v/>
      </c>
      <c r="W80" s="1" t="str">
        <f t="shared" ca="1" si="12"/>
        <v/>
      </c>
      <c r="X80" s="1" t="str">
        <f t="shared" ca="1" si="13"/>
        <v/>
      </c>
      <c r="Y80" s="3" t="str">
        <f t="shared" ca="1" si="14"/>
        <v/>
      </c>
    </row>
    <row r="81" spans="1:25" s="3" customFormat="1" x14ac:dyDescent="0.4">
      <c r="A81" s="34" t="str">
        <f t="shared" si="15"/>
        <v/>
      </c>
      <c r="B81" s="15"/>
      <c r="C81" s="16"/>
      <c r="D81" s="5"/>
      <c r="E81" s="5"/>
      <c r="F81" s="79"/>
      <c r="G81" s="80"/>
      <c r="H81" s="80"/>
      <c r="I81" s="81"/>
      <c r="J81" s="16"/>
      <c r="K81" s="5"/>
      <c r="L81" s="5"/>
      <c r="M81" s="64"/>
      <c r="N81" s="65"/>
      <c r="O81" s="66"/>
      <c r="P81" s="17"/>
      <c r="Q81" s="50"/>
      <c r="R81" s="6"/>
      <c r="S81" s="58"/>
      <c r="T81" s="63" t="str">
        <f t="shared" ca="1" si="9"/>
        <v/>
      </c>
      <c r="U81" s="3" t="str">
        <f t="shared" ca="1" si="10"/>
        <v/>
      </c>
      <c r="V81" s="3" t="str">
        <f t="shared" ca="1" si="11"/>
        <v/>
      </c>
      <c r="W81" s="1" t="str">
        <f t="shared" ca="1" si="12"/>
        <v/>
      </c>
      <c r="X81" s="1" t="str">
        <f t="shared" ca="1" si="13"/>
        <v/>
      </c>
      <c r="Y81" s="3" t="str">
        <f t="shared" ca="1" si="14"/>
        <v/>
      </c>
    </row>
    <row r="82" spans="1:25" s="3" customFormat="1" x14ac:dyDescent="0.4">
      <c r="A82" s="34" t="str">
        <f t="shared" si="15"/>
        <v/>
      </c>
      <c r="B82" s="15"/>
      <c r="C82" s="16"/>
      <c r="D82" s="5"/>
      <c r="E82" s="5"/>
      <c r="F82" s="79"/>
      <c r="G82" s="80"/>
      <c r="H82" s="80"/>
      <c r="I82" s="81"/>
      <c r="J82" s="16"/>
      <c r="K82" s="5"/>
      <c r="L82" s="5"/>
      <c r="M82" s="64"/>
      <c r="N82" s="65"/>
      <c r="O82" s="66"/>
      <c r="P82" s="17"/>
      <c r="Q82" s="50"/>
      <c r="R82" s="6"/>
      <c r="S82" s="58"/>
      <c r="T82" s="63" t="str">
        <f t="shared" ca="1" si="9"/>
        <v/>
      </c>
      <c r="U82" s="3" t="str">
        <f t="shared" ca="1" si="10"/>
        <v/>
      </c>
      <c r="V82" s="3" t="str">
        <f t="shared" ca="1" si="11"/>
        <v/>
      </c>
      <c r="W82" s="1" t="str">
        <f t="shared" ca="1" si="12"/>
        <v/>
      </c>
      <c r="X82" s="1" t="str">
        <f t="shared" ca="1" si="13"/>
        <v/>
      </c>
      <c r="Y82" s="3" t="str">
        <f t="shared" ca="1" si="14"/>
        <v/>
      </c>
    </row>
    <row r="83" spans="1:25" s="3" customFormat="1" x14ac:dyDescent="0.4">
      <c r="A83" s="34" t="str">
        <f t="shared" si="15"/>
        <v/>
      </c>
      <c r="B83" s="15"/>
      <c r="C83" s="16"/>
      <c r="D83" s="5"/>
      <c r="E83" s="5"/>
      <c r="F83" s="79"/>
      <c r="G83" s="80"/>
      <c r="H83" s="80"/>
      <c r="I83" s="81"/>
      <c r="J83" s="16"/>
      <c r="K83" s="5"/>
      <c r="L83" s="5"/>
      <c r="M83" s="64"/>
      <c r="N83" s="65"/>
      <c r="O83" s="66"/>
      <c r="P83" s="17"/>
      <c r="Q83" s="50"/>
      <c r="R83" s="6"/>
      <c r="S83" s="58"/>
      <c r="T83" s="63" t="str">
        <f t="shared" ca="1" si="9"/>
        <v/>
      </c>
      <c r="U83" s="3" t="str">
        <f t="shared" ca="1" si="10"/>
        <v/>
      </c>
      <c r="V83" s="3" t="str">
        <f t="shared" ca="1" si="11"/>
        <v/>
      </c>
      <c r="W83" s="1" t="str">
        <f t="shared" ca="1" si="12"/>
        <v/>
      </c>
      <c r="X83" s="1" t="str">
        <f t="shared" ca="1" si="13"/>
        <v/>
      </c>
      <c r="Y83" s="3" t="str">
        <f t="shared" ca="1" si="14"/>
        <v/>
      </c>
    </row>
    <row r="84" spans="1:25" s="3" customFormat="1" x14ac:dyDescent="0.4">
      <c r="A84" s="34" t="str">
        <f t="shared" si="15"/>
        <v/>
      </c>
      <c r="B84" s="15"/>
      <c r="C84" s="16"/>
      <c r="D84" s="5"/>
      <c r="E84" s="5"/>
      <c r="F84" s="79"/>
      <c r="G84" s="80"/>
      <c r="H84" s="80"/>
      <c r="I84" s="81"/>
      <c r="J84" s="16"/>
      <c r="K84" s="5"/>
      <c r="L84" s="5"/>
      <c r="M84" s="64"/>
      <c r="N84" s="65"/>
      <c r="O84" s="66"/>
      <c r="P84" s="17"/>
      <c r="Q84" s="50"/>
      <c r="R84" s="6"/>
      <c r="S84" s="58"/>
      <c r="T84" s="63" t="str">
        <f t="shared" ca="1" si="9"/>
        <v/>
      </c>
      <c r="U84" s="3" t="str">
        <f t="shared" ca="1" si="10"/>
        <v/>
      </c>
      <c r="V84" s="3" t="str">
        <f t="shared" ca="1" si="11"/>
        <v/>
      </c>
      <c r="W84" s="1" t="str">
        <f t="shared" ca="1" si="12"/>
        <v/>
      </c>
      <c r="X84" s="1" t="str">
        <f t="shared" ca="1" si="13"/>
        <v/>
      </c>
      <c r="Y84" s="3" t="str">
        <f t="shared" ca="1" si="14"/>
        <v/>
      </c>
    </row>
    <row r="85" spans="1:25" s="3" customFormat="1" x14ac:dyDescent="0.4">
      <c r="A85" s="34" t="str">
        <f t="shared" si="15"/>
        <v/>
      </c>
      <c r="B85" s="15"/>
      <c r="C85" s="16"/>
      <c r="D85" s="5"/>
      <c r="E85" s="5"/>
      <c r="F85" s="79"/>
      <c r="G85" s="80"/>
      <c r="H85" s="80"/>
      <c r="I85" s="81"/>
      <c r="J85" s="16"/>
      <c r="K85" s="5"/>
      <c r="L85" s="5"/>
      <c r="M85" s="64"/>
      <c r="N85" s="65"/>
      <c r="O85" s="66"/>
      <c r="P85" s="17"/>
      <c r="Q85" s="50"/>
      <c r="R85" s="6"/>
      <c r="S85" s="58"/>
      <c r="T85" s="63" t="str">
        <f t="shared" ca="1" si="9"/>
        <v/>
      </c>
      <c r="U85" s="3" t="str">
        <f t="shared" ca="1" si="10"/>
        <v/>
      </c>
      <c r="V85" s="3" t="str">
        <f t="shared" ca="1" si="11"/>
        <v/>
      </c>
      <c r="W85" s="1" t="str">
        <f t="shared" ca="1" si="12"/>
        <v/>
      </c>
      <c r="X85" s="1" t="str">
        <f t="shared" ca="1" si="13"/>
        <v/>
      </c>
      <c r="Y85" s="3" t="str">
        <f t="shared" ca="1" si="14"/>
        <v/>
      </c>
    </row>
    <row r="86" spans="1:25" s="3" customFormat="1" x14ac:dyDescent="0.4">
      <c r="A86" s="34" t="str">
        <f t="shared" si="15"/>
        <v/>
      </c>
      <c r="B86" s="15"/>
      <c r="C86" s="16"/>
      <c r="D86" s="5"/>
      <c r="E86" s="5"/>
      <c r="F86" s="79"/>
      <c r="G86" s="80"/>
      <c r="H86" s="80"/>
      <c r="I86" s="81"/>
      <c r="J86" s="16"/>
      <c r="K86" s="5"/>
      <c r="L86" s="5"/>
      <c r="M86" s="64"/>
      <c r="N86" s="65"/>
      <c r="O86" s="66"/>
      <c r="P86" s="17"/>
      <c r="Q86" s="50"/>
      <c r="R86" s="6"/>
      <c r="S86" s="58"/>
      <c r="T86" s="63" t="str">
        <f t="shared" ca="1" si="9"/>
        <v/>
      </c>
      <c r="U86" s="3" t="str">
        <f t="shared" ca="1" si="10"/>
        <v/>
      </c>
      <c r="V86" s="3" t="str">
        <f t="shared" ca="1" si="11"/>
        <v/>
      </c>
      <c r="W86" s="1" t="str">
        <f t="shared" ca="1" si="12"/>
        <v/>
      </c>
      <c r="X86" s="1" t="str">
        <f t="shared" ca="1" si="13"/>
        <v/>
      </c>
      <c r="Y86" s="3" t="str">
        <f t="shared" ca="1" si="14"/>
        <v/>
      </c>
    </row>
    <row r="87" spans="1:25" s="3" customFormat="1" x14ac:dyDescent="0.4">
      <c r="A87" s="34" t="str">
        <f t="shared" si="15"/>
        <v/>
      </c>
      <c r="B87" s="15"/>
      <c r="C87" s="16"/>
      <c r="D87" s="5"/>
      <c r="E87" s="5"/>
      <c r="F87" s="79"/>
      <c r="G87" s="80"/>
      <c r="H87" s="80"/>
      <c r="I87" s="81"/>
      <c r="J87" s="16"/>
      <c r="K87" s="5"/>
      <c r="L87" s="5"/>
      <c r="M87" s="64"/>
      <c r="N87" s="65"/>
      <c r="O87" s="66"/>
      <c r="P87" s="17"/>
      <c r="Q87" s="50"/>
      <c r="R87" s="6"/>
      <c r="S87" s="58"/>
      <c r="T87" s="63" t="str">
        <f t="shared" ca="1" si="9"/>
        <v/>
      </c>
      <c r="U87" s="3" t="str">
        <f t="shared" ca="1" si="10"/>
        <v/>
      </c>
      <c r="V87" s="3" t="str">
        <f t="shared" ca="1" si="11"/>
        <v/>
      </c>
      <c r="W87" s="1" t="str">
        <f t="shared" ca="1" si="12"/>
        <v/>
      </c>
      <c r="X87" s="1" t="str">
        <f t="shared" ca="1" si="13"/>
        <v/>
      </c>
      <c r="Y87" s="3" t="str">
        <f t="shared" ca="1" si="14"/>
        <v/>
      </c>
    </row>
    <row r="88" spans="1:25" s="3" customFormat="1" x14ac:dyDescent="0.4">
      <c r="A88" s="34" t="str">
        <f t="shared" si="15"/>
        <v/>
      </c>
      <c r="B88" s="15"/>
      <c r="C88" s="16"/>
      <c r="D88" s="5"/>
      <c r="E88" s="5"/>
      <c r="F88" s="79"/>
      <c r="G88" s="80"/>
      <c r="H88" s="80"/>
      <c r="I88" s="81"/>
      <c r="J88" s="16"/>
      <c r="K88" s="5"/>
      <c r="L88" s="5"/>
      <c r="M88" s="64"/>
      <c r="N88" s="65"/>
      <c r="O88" s="66"/>
      <c r="P88" s="17"/>
      <c r="Q88" s="50"/>
      <c r="R88" s="6"/>
      <c r="S88" s="58"/>
      <c r="T88" s="63" t="str">
        <f t="shared" ca="1" si="9"/>
        <v/>
      </c>
      <c r="U88" s="3" t="str">
        <f t="shared" ca="1" si="10"/>
        <v/>
      </c>
      <c r="V88" s="3" t="str">
        <f t="shared" ca="1" si="11"/>
        <v/>
      </c>
      <c r="W88" s="1" t="str">
        <f t="shared" ca="1" si="12"/>
        <v/>
      </c>
      <c r="X88" s="1" t="str">
        <f t="shared" ca="1" si="13"/>
        <v/>
      </c>
      <c r="Y88" s="3" t="str">
        <f t="shared" ca="1" si="14"/>
        <v/>
      </c>
    </row>
    <row r="89" spans="1:25" s="3" customFormat="1" x14ac:dyDescent="0.4">
      <c r="A89" s="34" t="str">
        <f t="shared" si="15"/>
        <v/>
      </c>
      <c r="B89" s="15"/>
      <c r="C89" s="16"/>
      <c r="D89" s="5"/>
      <c r="E89" s="5"/>
      <c r="F89" s="79"/>
      <c r="G89" s="80"/>
      <c r="H89" s="80"/>
      <c r="I89" s="81"/>
      <c r="J89" s="16"/>
      <c r="K89" s="5"/>
      <c r="L89" s="5"/>
      <c r="M89" s="64"/>
      <c r="N89" s="65"/>
      <c r="O89" s="66"/>
      <c r="P89" s="17"/>
      <c r="Q89" s="50"/>
      <c r="R89" s="6"/>
      <c r="S89" s="58"/>
      <c r="T89" s="63" t="str">
        <f t="shared" ca="1" si="9"/>
        <v/>
      </c>
      <c r="U89" s="3" t="str">
        <f t="shared" ca="1" si="10"/>
        <v/>
      </c>
      <c r="V89" s="3" t="str">
        <f t="shared" ca="1" si="11"/>
        <v/>
      </c>
      <c r="W89" s="1" t="str">
        <f t="shared" ca="1" si="12"/>
        <v/>
      </c>
      <c r="X89" s="1" t="str">
        <f t="shared" ca="1" si="13"/>
        <v/>
      </c>
      <c r="Y89" s="3" t="str">
        <f t="shared" ca="1" si="14"/>
        <v/>
      </c>
    </row>
    <row r="90" spans="1:25" s="3" customFormat="1" x14ac:dyDescent="0.4">
      <c r="A90" s="34" t="str">
        <f t="shared" si="15"/>
        <v/>
      </c>
      <c r="B90" s="15"/>
      <c r="C90" s="16"/>
      <c r="D90" s="5"/>
      <c r="E90" s="5"/>
      <c r="F90" s="79"/>
      <c r="G90" s="80"/>
      <c r="H90" s="80"/>
      <c r="I90" s="81"/>
      <c r="J90" s="16"/>
      <c r="K90" s="5"/>
      <c r="L90" s="5"/>
      <c r="M90" s="64"/>
      <c r="N90" s="65"/>
      <c r="O90" s="66"/>
      <c r="P90" s="17"/>
      <c r="Q90" s="50"/>
      <c r="R90" s="6"/>
      <c r="S90" s="58"/>
      <c r="T90" s="63" t="str">
        <f t="shared" ca="1" si="9"/>
        <v/>
      </c>
      <c r="U90" s="3" t="str">
        <f t="shared" ca="1" si="10"/>
        <v/>
      </c>
      <c r="V90" s="3" t="str">
        <f t="shared" ca="1" si="11"/>
        <v/>
      </c>
      <c r="W90" s="1" t="str">
        <f t="shared" ca="1" si="12"/>
        <v/>
      </c>
      <c r="X90" s="1" t="str">
        <f t="shared" ca="1" si="13"/>
        <v/>
      </c>
      <c r="Y90" s="3" t="str">
        <f t="shared" ca="1" si="14"/>
        <v/>
      </c>
    </row>
    <row r="91" spans="1:25" s="3" customFormat="1" x14ac:dyDescent="0.4">
      <c r="A91" s="34" t="str">
        <f t="shared" si="15"/>
        <v/>
      </c>
      <c r="B91" s="15"/>
      <c r="C91" s="16"/>
      <c r="D91" s="5"/>
      <c r="E91" s="5"/>
      <c r="F91" s="79"/>
      <c r="G91" s="80"/>
      <c r="H91" s="80"/>
      <c r="I91" s="81"/>
      <c r="J91" s="16"/>
      <c r="K91" s="5"/>
      <c r="L91" s="5"/>
      <c r="M91" s="64"/>
      <c r="N91" s="65"/>
      <c r="O91" s="66"/>
      <c r="P91" s="17"/>
      <c r="Q91" s="50"/>
      <c r="R91" s="6"/>
      <c r="S91" s="58"/>
      <c r="T91" s="63" t="str">
        <f t="shared" ca="1" si="9"/>
        <v/>
      </c>
      <c r="U91" s="3" t="str">
        <f t="shared" ca="1" si="10"/>
        <v/>
      </c>
      <c r="V91" s="3" t="str">
        <f t="shared" ca="1" si="11"/>
        <v/>
      </c>
      <c r="W91" s="1" t="str">
        <f t="shared" ca="1" si="12"/>
        <v/>
      </c>
      <c r="X91" s="1" t="str">
        <f t="shared" ca="1" si="13"/>
        <v/>
      </c>
      <c r="Y91" s="3" t="str">
        <f t="shared" ca="1" si="14"/>
        <v/>
      </c>
    </row>
    <row r="92" spans="1:25" s="3" customFormat="1" x14ac:dyDescent="0.4">
      <c r="A92" s="34" t="str">
        <f t="shared" si="15"/>
        <v/>
      </c>
      <c r="B92" s="15"/>
      <c r="C92" s="16"/>
      <c r="D92" s="5"/>
      <c r="E92" s="5"/>
      <c r="F92" s="79"/>
      <c r="G92" s="80"/>
      <c r="H92" s="80"/>
      <c r="I92" s="81"/>
      <c r="J92" s="16"/>
      <c r="K92" s="5"/>
      <c r="L92" s="5"/>
      <c r="M92" s="64"/>
      <c r="N92" s="65"/>
      <c r="O92" s="66"/>
      <c r="P92" s="17"/>
      <c r="Q92" s="50"/>
      <c r="R92" s="6"/>
      <c r="S92" s="58"/>
      <c r="T92" s="63" t="str">
        <f t="shared" ca="1" si="9"/>
        <v/>
      </c>
      <c r="U92" s="3" t="str">
        <f t="shared" ca="1" si="10"/>
        <v/>
      </c>
      <c r="V92" s="3" t="str">
        <f t="shared" ca="1" si="11"/>
        <v/>
      </c>
      <c r="W92" s="1" t="str">
        <f t="shared" ca="1" si="12"/>
        <v/>
      </c>
      <c r="X92" s="1" t="str">
        <f t="shared" ca="1" si="13"/>
        <v/>
      </c>
      <c r="Y92" s="3" t="str">
        <f t="shared" ca="1" si="14"/>
        <v/>
      </c>
    </row>
    <row r="93" spans="1:25" s="3" customFormat="1" x14ac:dyDescent="0.4">
      <c r="A93" s="34" t="str">
        <f t="shared" si="15"/>
        <v/>
      </c>
      <c r="B93" s="15"/>
      <c r="C93" s="16"/>
      <c r="D93" s="5"/>
      <c r="E93" s="5"/>
      <c r="F93" s="79"/>
      <c r="G93" s="80"/>
      <c r="H93" s="80"/>
      <c r="I93" s="81"/>
      <c r="J93" s="16"/>
      <c r="K93" s="5"/>
      <c r="L93" s="5"/>
      <c r="M93" s="64"/>
      <c r="N93" s="65"/>
      <c r="O93" s="66"/>
      <c r="P93" s="17"/>
      <c r="Q93" s="50"/>
      <c r="R93" s="6"/>
      <c r="S93" s="58"/>
      <c r="T93" s="63" t="str">
        <f t="shared" ca="1" si="9"/>
        <v/>
      </c>
      <c r="U93" s="3" t="str">
        <f t="shared" ca="1" si="10"/>
        <v/>
      </c>
      <c r="V93" s="3" t="str">
        <f t="shared" ca="1" si="11"/>
        <v/>
      </c>
      <c r="W93" s="1" t="str">
        <f t="shared" ca="1" si="12"/>
        <v/>
      </c>
      <c r="X93" s="1" t="str">
        <f t="shared" ca="1" si="13"/>
        <v/>
      </c>
      <c r="Y93" s="3" t="str">
        <f t="shared" ca="1" si="14"/>
        <v/>
      </c>
    </row>
    <row r="94" spans="1:25" s="3" customFormat="1" x14ac:dyDescent="0.4">
      <c r="A94" s="34" t="str">
        <f t="shared" si="15"/>
        <v/>
      </c>
      <c r="B94" s="15"/>
      <c r="C94" s="16"/>
      <c r="D94" s="5"/>
      <c r="E94" s="5"/>
      <c r="F94" s="79"/>
      <c r="G94" s="80"/>
      <c r="H94" s="80"/>
      <c r="I94" s="81"/>
      <c r="J94" s="16"/>
      <c r="K94" s="5"/>
      <c r="L94" s="5"/>
      <c r="M94" s="64"/>
      <c r="N94" s="65"/>
      <c r="O94" s="66"/>
      <c r="P94" s="17"/>
      <c r="Q94" s="50"/>
      <c r="R94" s="6"/>
      <c r="S94" s="58"/>
      <c r="T94" s="63" t="str">
        <f t="shared" ca="1" si="9"/>
        <v/>
      </c>
      <c r="U94" s="3" t="str">
        <f t="shared" ca="1" si="10"/>
        <v/>
      </c>
      <c r="V94" s="3" t="str">
        <f t="shared" ca="1" si="11"/>
        <v/>
      </c>
      <c r="W94" s="1" t="str">
        <f t="shared" ca="1" si="12"/>
        <v/>
      </c>
      <c r="X94" s="1" t="str">
        <f t="shared" ca="1" si="13"/>
        <v/>
      </c>
      <c r="Y94" s="3" t="str">
        <f t="shared" ca="1" si="14"/>
        <v/>
      </c>
    </row>
    <row r="95" spans="1:25" s="3" customFormat="1" x14ac:dyDescent="0.4">
      <c r="A95" s="34" t="str">
        <f t="shared" si="15"/>
        <v/>
      </c>
      <c r="B95" s="15"/>
      <c r="C95" s="16"/>
      <c r="D95" s="5"/>
      <c r="E95" s="5"/>
      <c r="F95" s="79"/>
      <c r="G95" s="80"/>
      <c r="H95" s="80"/>
      <c r="I95" s="81"/>
      <c r="J95" s="16"/>
      <c r="K95" s="5"/>
      <c r="L95" s="5"/>
      <c r="M95" s="64"/>
      <c r="N95" s="65"/>
      <c r="O95" s="66"/>
      <c r="P95" s="17"/>
      <c r="Q95" s="50"/>
      <c r="R95" s="6"/>
      <c r="S95" s="58"/>
      <c r="T95" s="63" t="str">
        <f t="shared" ca="1" si="9"/>
        <v/>
      </c>
      <c r="U95" s="3" t="str">
        <f t="shared" ca="1" si="10"/>
        <v/>
      </c>
      <c r="V95" s="3" t="str">
        <f t="shared" ca="1" si="11"/>
        <v/>
      </c>
      <c r="W95" s="1" t="str">
        <f t="shared" ca="1" si="12"/>
        <v/>
      </c>
      <c r="X95" s="1" t="str">
        <f t="shared" ca="1" si="13"/>
        <v/>
      </c>
      <c r="Y95" s="3" t="str">
        <f t="shared" ca="1" si="14"/>
        <v/>
      </c>
    </row>
    <row r="96" spans="1:25" s="3" customFormat="1" x14ac:dyDescent="0.4">
      <c r="A96" s="34" t="str">
        <f t="shared" si="15"/>
        <v/>
      </c>
      <c r="B96" s="15"/>
      <c r="C96" s="16"/>
      <c r="D96" s="5"/>
      <c r="E96" s="5"/>
      <c r="F96" s="79"/>
      <c r="G96" s="80"/>
      <c r="H96" s="80"/>
      <c r="I96" s="81"/>
      <c r="J96" s="16"/>
      <c r="K96" s="5"/>
      <c r="L96" s="5"/>
      <c r="M96" s="64"/>
      <c r="N96" s="65"/>
      <c r="O96" s="66"/>
      <c r="P96" s="17"/>
      <c r="Q96" s="50"/>
      <c r="R96" s="6"/>
      <c r="S96" s="58"/>
      <c r="T96" s="63" t="str">
        <f t="shared" ca="1" si="9"/>
        <v/>
      </c>
      <c r="U96" s="3" t="str">
        <f t="shared" ca="1" si="10"/>
        <v/>
      </c>
      <c r="V96" s="3" t="str">
        <f t="shared" ca="1" si="11"/>
        <v/>
      </c>
      <c r="W96" s="1" t="str">
        <f t="shared" ca="1" si="12"/>
        <v/>
      </c>
      <c r="X96" s="1" t="str">
        <f t="shared" ca="1" si="13"/>
        <v/>
      </c>
      <c r="Y96" s="3" t="str">
        <f t="shared" ca="1" si="14"/>
        <v/>
      </c>
    </row>
    <row r="97" spans="1:25" s="3" customFormat="1" x14ac:dyDescent="0.4">
      <c r="A97" s="34" t="str">
        <f t="shared" si="15"/>
        <v/>
      </c>
      <c r="B97" s="15"/>
      <c r="C97" s="16"/>
      <c r="D97" s="5"/>
      <c r="E97" s="5"/>
      <c r="F97" s="79"/>
      <c r="G97" s="80"/>
      <c r="H97" s="80"/>
      <c r="I97" s="81"/>
      <c r="J97" s="16"/>
      <c r="K97" s="5"/>
      <c r="L97" s="5"/>
      <c r="M97" s="64"/>
      <c r="N97" s="65"/>
      <c r="O97" s="66"/>
      <c r="P97" s="17"/>
      <c r="Q97" s="50"/>
      <c r="R97" s="6"/>
      <c r="S97" s="58"/>
      <c r="T97" s="63" t="str">
        <f t="shared" ca="1" si="9"/>
        <v/>
      </c>
      <c r="U97" s="3" t="str">
        <f t="shared" ca="1" si="10"/>
        <v/>
      </c>
      <c r="V97" s="3" t="str">
        <f t="shared" ca="1" si="11"/>
        <v/>
      </c>
      <c r="W97" s="1" t="str">
        <f t="shared" ca="1" si="12"/>
        <v/>
      </c>
      <c r="X97" s="1" t="str">
        <f t="shared" ca="1" si="13"/>
        <v/>
      </c>
      <c r="Y97" s="3" t="str">
        <f t="shared" ca="1" si="14"/>
        <v/>
      </c>
    </row>
    <row r="98" spans="1:25" s="3" customFormat="1" x14ac:dyDescent="0.4">
      <c r="A98" s="34" t="str">
        <f t="shared" si="15"/>
        <v/>
      </c>
      <c r="B98" s="15"/>
      <c r="C98" s="16"/>
      <c r="D98" s="5"/>
      <c r="E98" s="5"/>
      <c r="F98" s="79"/>
      <c r="G98" s="80"/>
      <c r="H98" s="80"/>
      <c r="I98" s="81"/>
      <c r="J98" s="16"/>
      <c r="K98" s="5"/>
      <c r="L98" s="5"/>
      <c r="M98" s="64"/>
      <c r="N98" s="65"/>
      <c r="O98" s="66"/>
      <c r="P98" s="17"/>
      <c r="Q98" s="50"/>
      <c r="R98" s="6"/>
      <c r="S98" s="58"/>
      <c r="T98" s="63" t="str">
        <f t="shared" ca="1" si="9"/>
        <v/>
      </c>
      <c r="U98" s="3" t="str">
        <f t="shared" ca="1" si="10"/>
        <v/>
      </c>
      <c r="V98" s="3" t="str">
        <f t="shared" ca="1" si="11"/>
        <v/>
      </c>
      <c r="W98" s="1" t="str">
        <f t="shared" ca="1" si="12"/>
        <v/>
      </c>
      <c r="X98" s="1" t="str">
        <f t="shared" ca="1" si="13"/>
        <v/>
      </c>
      <c r="Y98" s="3" t="str">
        <f t="shared" ca="1" si="14"/>
        <v/>
      </c>
    </row>
    <row r="99" spans="1:25" s="3" customFormat="1" x14ac:dyDescent="0.4">
      <c r="A99" s="34" t="str">
        <f t="shared" si="15"/>
        <v/>
      </c>
      <c r="B99" s="15"/>
      <c r="C99" s="16"/>
      <c r="D99" s="5"/>
      <c r="E99" s="5"/>
      <c r="F99" s="79"/>
      <c r="G99" s="80"/>
      <c r="H99" s="80"/>
      <c r="I99" s="81"/>
      <c r="J99" s="16"/>
      <c r="K99" s="5"/>
      <c r="L99" s="5"/>
      <c r="M99" s="64"/>
      <c r="N99" s="65"/>
      <c r="O99" s="66"/>
      <c r="P99" s="17"/>
      <c r="Q99" s="50"/>
      <c r="R99" s="6"/>
      <c r="S99" s="58"/>
      <c r="T99" s="63" t="str">
        <f t="shared" ca="1" si="9"/>
        <v/>
      </c>
      <c r="U99" s="3" t="str">
        <f t="shared" ca="1" si="10"/>
        <v/>
      </c>
      <c r="V99" s="3" t="str">
        <f t="shared" ca="1" si="11"/>
        <v/>
      </c>
      <c r="W99" s="1" t="str">
        <f t="shared" ca="1" si="12"/>
        <v/>
      </c>
      <c r="X99" s="1" t="str">
        <f t="shared" ca="1" si="13"/>
        <v/>
      </c>
      <c r="Y99" s="3" t="str">
        <f t="shared" ca="1" si="14"/>
        <v/>
      </c>
    </row>
    <row r="100" spans="1:25" s="3" customFormat="1" x14ac:dyDescent="0.4">
      <c r="A100" s="34" t="str">
        <f t="shared" si="15"/>
        <v/>
      </c>
      <c r="B100" s="15"/>
      <c r="C100" s="16"/>
      <c r="D100" s="5"/>
      <c r="E100" s="5"/>
      <c r="F100" s="79"/>
      <c r="G100" s="80"/>
      <c r="H100" s="80"/>
      <c r="I100" s="81"/>
      <c r="J100" s="16"/>
      <c r="K100" s="5"/>
      <c r="L100" s="5"/>
      <c r="M100" s="64"/>
      <c r="N100" s="65"/>
      <c r="O100" s="66"/>
      <c r="P100" s="17"/>
      <c r="Q100" s="50"/>
      <c r="R100" s="6"/>
      <c r="S100" s="58"/>
      <c r="T100" s="63" t="str">
        <f t="shared" ca="1" si="9"/>
        <v/>
      </c>
      <c r="U100" s="3" t="str">
        <f t="shared" ca="1" si="10"/>
        <v/>
      </c>
      <c r="V100" s="3" t="str">
        <f t="shared" ca="1" si="11"/>
        <v/>
      </c>
      <c r="W100" s="1" t="str">
        <f t="shared" ca="1" si="12"/>
        <v/>
      </c>
      <c r="X100" s="1" t="str">
        <f t="shared" ca="1" si="13"/>
        <v/>
      </c>
      <c r="Y100" s="3" t="str">
        <f t="shared" ca="1" si="14"/>
        <v/>
      </c>
    </row>
    <row r="101" spans="1:25" s="3" customFormat="1" x14ac:dyDescent="0.4">
      <c r="A101" s="34" t="str">
        <f t="shared" si="15"/>
        <v/>
      </c>
      <c r="B101" s="15"/>
      <c r="C101" s="16"/>
      <c r="D101" s="5"/>
      <c r="E101" s="5"/>
      <c r="F101" s="79"/>
      <c r="G101" s="80"/>
      <c r="H101" s="80"/>
      <c r="I101" s="81"/>
      <c r="J101" s="16"/>
      <c r="K101" s="5"/>
      <c r="L101" s="5"/>
      <c r="M101" s="64"/>
      <c r="N101" s="65"/>
      <c r="O101" s="66"/>
      <c r="P101" s="17"/>
      <c r="Q101" s="50"/>
      <c r="R101" s="6"/>
      <c r="S101" s="58"/>
      <c r="T101" s="63" t="str">
        <f t="shared" ref="T101:T132" ca="1" si="16">IF(ISNA(VLOOKUP(E101,地址類別Mapping,2,FALSE)),"",VLOOKUP(E101,地址類別Mapping,2,FALSE))</f>
        <v/>
      </c>
      <c r="U101" s="3" t="str">
        <f t="shared" ca="1" si="10"/>
        <v/>
      </c>
      <c r="V101" s="3" t="str">
        <f t="shared" ca="1" si="11"/>
        <v/>
      </c>
      <c r="W101" s="1" t="str">
        <f t="shared" ca="1" si="12"/>
        <v/>
      </c>
      <c r="X101" s="1" t="str">
        <f t="shared" ca="1" si="13"/>
        <v/>
      </c>
      <c r="Y101" s="3" t="str">
        <f t="shared" ref="Y101:Y132" ca="1" si="17">IF(ISNA(VLOOKUP(B101,郵件種類MAPPING,2,FALSE)),"","203")</f>
        <v/>
      </c>
    </row>
    <row r="102" spans="1:25" s="3" customFormat="1" x14ac:dyDescent="0.4">
      <c r="A102" s="34" t="str">
        <f t="shared" si="15"/>
        <v/>
      </c>
      <c r="B102" s="15"/>
      <c r="C102" s="16"/>
      <c r="D102" s="5"/>
      <c r="E102" s="5"/>
      <c r="F102" s="79"/>
      <c r="G102" s="80"/>
      <c r="H102" s="80"/>
      <c r="I102" s="81"/>
      <c r="J102" s="16"/>
      <c r="K102" s="5"/>
      <c r="L102" s="5"/>
      <c r="M102" s="64"/>
      <c r="N102" s="65"/>
      <c r="O102" s="66"/>
      <c r="P102" s="17"/>
      <c r="Q102" s="50"/>
      <c r="R102" s="6"/>
      <c r="S102" s="58"/>
      <c r="T102" s="63" t="str">
        <f t="shared" ca="1" si="16"/>
        <v/>
      </c>
      <c r="U102" s="3" t="str">
        <f t="shared" ca="1" si="10"/>
        <v/>
      </c>
      <c r="V102" s="3" t="str">
        <f t="shared" ca="1" si="11"/>
        <v/>
      </c>
      <c r="W102" s="1" t="str">
        <f t="shared" ca="1" si="12"/>
        <v/>
      </c>
      <c r="X102" s="1" t="str">
        <f t="shared" ca="1" si="13"/>
        <v/>
      </c>
      <c r="Y102" s="3" t="str">
        <f t="shared" ca="1" si="17"/>
        <v/>
      </c>
    </row>
    <row r="103" spans="1:25" s="3" customFormat="1" x14ac:dyDescent="0.4">
      <c r="A103" s="34" t="str">
        <f t="shared" si="15"/>
        <v/>
      </c>
      <c r="B103" s="15"/>
      <c r="C103" s="16"/>
      <c r="D103" s="5"/>
      <c r="E103" s="5"/>
      <c r="F103" s="79"/>
      <c r="G103" s="80"/>
      <c r="H103" s="80"/>
      <c r="I103" s="81"/>
      <c r="J103" s="16"/>
      <c r="K103" s="5"/>
      <c r="L103" s="5"/>
      <c r="M103" s="64"/>
      <c r="N103" s="65"/>
      <c r="O103" s="66"/>
      <c r="P103" s="17"/>
      <c r="Q103" s="50"/>
      <c r="R103" s="6"/>
      <c r="S103" s="58"/>
      <c r="T103" s="63" t="str">
        <f t="shared" ca="1" si="16"/>
        <v/>
      </c>
      <c r="U103" s="3" t="str">
        <f t="shared" ca="1" si="10"/>
        <v/>
      </c>
      <c r="V103" s="3" t="str">
        <f t="shared" ca="1" si="11"/>
        <v/>
      </c>
      <c r="W103" s="1" t="str">
        <f t="shared" ca="1" si="12"/>
        <v/>
      </c>
      <c r="X103" s="1" t="str">
        <f t="shared" ca="1" si="13"/>
        <v/>
      </c>
      <c r="Y103" s="3" t="str">
        <f t="shared" ca="1" si="17"/>
        <v/>
      </c>
    </row>
    <row r="104" spans="1:25" s="3" customFormat="1" x14ac:dyDescent="0.4">
      <c r="A104" s="34" t="str">
        <f t="shared" si="15"/>
        <v/>
      </c>
      <c r="B104" s="15"/>
      <c r="C104" s="16"/>
      <c r="D104" s="5"/>
      <c r="E104" s="5"/>
      <c r="F104" s="79"/>
      <c r="G104" s="80"/>
      <c r="H104" s="80"/>
      <c r="I104" s="81"/>
      <c r="J104" s="16"/>
      <c r="K104" s="5"/>
      <c r="L104" s="5"/>
      <c r="M104" s="64"/>
      <c r="N104" s="65"/>
      <c r="O104" s="66"/>
      <c r="P104" s="17"/>
      <c r="Q104" s="50"/>
      <c r="R104" s="6"/>
      <c r="S104" s="58"/>
      <c r="T104" s="63" t="str">
        <f t="shared" ca="1" si="16"/>
        <v/>
      </c>
      <c r="U104" s="3" t="str">
        <f t="shared" ca="1" si="10"/>
        <v/>
      </c>
      <c r="V104" s="3" t="str">
        <f t="shared" ca="1" si="11"/>
        <v/>
      </c>
      <c r="W104" s="1" t="str">
        <f t="shared" ca="1" si="12"/>
        <v/>
      </c>
      <c r="X104" s="1" t="str">
        <f t="shared" ca="1" si="13"/>
        <v/>
      </c>
      <c r="Y104" s="3" t="str">
        <f t="shared" ca="1" si="17"/>
        <v/>
      </c>
    </row>
    <row r="105" spans="1:25" s="3" customFormat="1" x14ac:dyDescent="0.4">
      <c r="A105" s="34" t="str">
        <f t="shared" si="15"/>
        <v/>
      </c>
      <c r="B105" s="15"/>
      <c r="C105" s="16"/>
      <c r="D105" s="5"/>
      <c r="E105" s="5"/>
      <c r="F105" s="79"/>
      <c r="G105" s="80"/>
      <c r="H105" s="80"/>
      <c r="I105" s="81"/>
      <c r="J105" s="16"/>
      <c r="K105" s="5"/>
      <c r="L105" s="5"/>
      <c r="M105" s="64"/>
      <c r="N105" s="65"/>
      <c r="O105" s="66"/>
      <c r="P105" s="17"/>
      <c r="Q105" s="50"/>
      <c r="R105" s="6"/>
      <c r="S105" s="58"/>
      <c r="T105" s="63" t="str">
        <f t="shared" ca="1" si="16"/>
        <v/>
      </c>
      <c r="U105" s="3" t="str">
        <f t="shared" ca="1" si="10"/>
        <v/>
      </c>
      <c r="V105" s="3" t="str">
        <f t="shared" ca="1" si="11"/>
        <v/>
      </c>
      <c r="W105" s="1" t="str">
        <f t="shared" ca="1" si="12"/>
        <v/>
      </c>
      <c r="X105" s="1" t="str">
        <f t="shared" ca="1" si="13"/>
        <v/>
      </c>
      <c r="Y105" s="3" t="str">
        <f t="shared" ca="1" si="17"/>
        <v/>
      </c>
    </row>
    <row r="106" spans="1:25" s="3" customFormat="1" x14ac:dyDescent="0.4">
      <c r="A106" s="34" t="str">
        <f t="shared" si="15"/>
        <v/>
      </c>
      <c r="B106" s="15"/>
      <c r="C106" s="16"/>
      <c r="D106" s="5"/>
      <c r="E106" s="5"/>
      <c r="F106" s="79"/>
      <c r="G106" s="80"/>
      <c r="H106" s="80"/>
      <c r="I106" s="81"/>
      <c r="J106" s="16"/>
      <c r="K106" s="5"/>
      <c r="L106" s="5"/>
      <c r="M106" s="64"/>
      <c r="N106" s="65"/>
      <c r="O106" s="66"/>
      <c r="P106" s="17"/>
      <c r="Q106" s="50"/>
      <c r="R106" s="6"/>
      <c r="S106" s="58"/>
      <c r="T106" s="63" t="str">
        <f t="shared" ca="1" si="16"/>
        <v/>
      </c>
      <c r="U106" s="3" t="str">
        <f t="shared" ca="1" si="10"/>
        <v/>
      </c>
      <c r="V106" s="3" t="str">
        <f t="shared" ca="1" si="11"/>
        <v/>
      </c>
      <c r="W106" s="1" t="str">
        <f t="shared" ca="1" si="12"/>
        <v/>
      </c>
      <c r="X106" s="1" t="str">
        <f t="shared" ca="1" si="13"/>
        <v/>
      </c>
      <c r="Y106" s="3" t="str">
        <f t="shared" ca="1" si="17"/>
        <v/>
      </c>
    </row>
    <row r="107" spans="1:25" s="3" customFormat="1" x14ac:dyDescent="0.4">
      <c r="A107" s="34" t="str">
        <f t="shared" si="15"/>
        <v/>
      </c>
      <c r="B107" s="15"/>
      <c r="C107" s="16"/>
      <c r="D107" s="5"/>
      <c r="E107" s="5"/>
      <c r="F107" s="79"/>
      <c r="G107" s="80"/>
      <c r="H107" s="80"/>
      <c r="I107" s="81"/>
      <c r="J107" s="16"/>
      <c r="K107" s="5"/>
      <c r="L107" s="5"/>
      <c r="M107" s="64"/>
      <c r="N107" s="65"/>
      <c r="O107" s="66"/>
      <c r="P107" s="17"/>
      <c r="Q107" s="50"/>
      <c r="R107" s="6"/>
      <c r="S107" s="58"/>
      <c r="T107" s="63" t="str">
        <f t="shared" ca="1" si="16"/>
        <v/>
      </c>
      <c r="U107" s="3" t="str">
        <f t="shared" ca="1" si="10"/>
        <v/>
      </c>
      <c r="V107" s="3" t="str">
        <f t="shared" ca="1" si="11"/>
        <v/>
      </c>
      <c r="W107" s="1" t="str">
        <f t="shared" ca="1" si="12"/>
        <v/>
      </c>
      <c r="X107" s="1" t="str">
        <f t="shared" ca="1" si="13"/>
        <v/>
      </c>
      <c r="Y107" s="3" t="str">
        <f t="shared" ca="1" si="17"/>
        <v/>
      </c>
    </row>
    <row r="108" spans="1:25" s="3" customFormat="1" x14ac:dyDescent="0.4">
      <c r="A108" s="34" t="str">
        <f t="shared" si="15"/>
        <v/>
      </c>
      <c r="B108" s="15"/>
      <c r="C108" s="16"/>
      <c r="D108" s="5"/>
      <c r="E108" s="5"/>
      <c r="F108" s="79"/>
      <c r="G108" s="80"/>
      <c r="H108" s="80"/>
      <c r="I108" s="81"/>
      <c r="J108" s="16"/>
      <c r="K108" s="5"/>
      <c r="L108" s="5"/>
      <c r="M108" s="64"/>
      <c r="N108" s="65"/>
      <c r="O108" s="66"/>
      <c r="P108" s="17"/>
      <c r="Q108" s="50"/>
      <c r="R108" s="6"/>
      <c r="S108" s="58"/>
      <c r="T108" s="63" t="str">
        <f t="shared" ca="1" si="16"/>
        <v/>
      </c>
      <c r="U108" s="3" t="str">
        <f t="shared" ca="1" si="10"/>
        <v/>
      </c>
      <c r="V108" s="3" t="str">
        <f t="shared" ca="1" si="11"/>
        <v/>
      </c>
      <c r="W108" s="1" t="str">
        <f t="shared" ca="1" si="12"/>
        <v/>
      </c>
      <c r="X108" s="1" t="str">
        <f t="shared" ca="1" si="13"/>
        <v/>
      </c>
      <c r="Y108" s="3" t="str">
        <f t="shared" ca="1" si="17"/>
        <v/>
      </c>
    </row>
    <row r="109" spans="1:25" s="3" customFormat="1" x14ac:dyDescent="0.4">
      <c r="A109" s="34" t="str">
        <f t="shared" si="15"/>
        <v/>
      </c>
      <c r="B109" s="15"/>
      <c r="C109" s="16"/>
      <c r="D109" s="5"/>
      <c r="E109" s="5"/>
      <c r="F109" s="79"/>
      <c r="G109" s="80"/>
      <c r="H109" s="80"/>
      <c r="I109" s="81"/>
      <c r="J109" s="16"/>
      <c r="K109" s="5"/>
      <c r="L109" s="5"/>
      <c r="M109" s="64"/>
      <c r="N109" s="65"/>
      <c r="O109" s="66"/>
      <c r="P109" s="17"/>
      <c r="Q109" s="50"/>
      <c r="R109" s="6"/>
      <c r="S109" s="58"/>
      <c r="T109" s="63" t="str">
        <f t="shared" ca="1" si="16"/>
        <v/>
      </c>
      <c r="U109" s="3" t="str">
        <f t="shared" ca="1" si="10"/>
        <v/>
      </c>
      <c r="V109" s="3" t="str">
        <f t="shared" ca="1" si="11"/>
        <v/>
      </c>
      <c r="W109" s="1" t="str">
        <f t="shared" ca="1" si="12"/>
        <v/>
      </c>
      <c r="X109" s="1" t="str">
        <f t="shared" ca="1" si="13"/>
        <v/>
      </c>
      <c r="Y109" s="3" t="str">
        <f t="shared" ca="1" si="17"/>
        <v/>
      </c>
    </row>
    <row r="110" spans="1:25" s="3" customFormat="1" x14ac:dyDescent="0.4">
      <c r="A110" s="34" t="str">
        <f t="shared" si="15"/>
        <v/>
      </c>
      <c r="B110" s="15"/>
      <c r="C110" s="16"/>
      <c r="D110" s="5"/>
      <c r="E110" s="5"/>
      <c r="F110" s="79"/>
      <c r="G110" s="80"/>
      <c r="H110" s="80"/>
      <c r="I110" s="81"/>
      <c r="J110" s="16"/>
      <c r="K110" s="5"/>
      <c r="L110" s="5"/>
      <c r="M110" s="64"/>
      <c r="N110" s="65"/>
      <c r="O110" s="66"/>
      <c r="P110" s="17"/>
      <c r="Q110" s="50"/>
      <c r="R110" s="6"/>
      <c r="S110" s="58"/>
      <c r="T110" s="63" t="str">
        <f t="shared" ca="1" si="16"/>
        <v/>
      </c>
      <c r="U110" s="3" t="str">
        <f t="shared" ca="1" si="10"/>
        <v/>
      </c>
      <c r="V110" s="3" t="str">
        <f t="shared" ca="1" si="11"/>
        <v/>
      </c>
      <c r="W110" s="1" t="str">
        <f t="shared" ca="1" si="12"/>
        <v/>
      </c>
      <c r="X110" s="1" t="str">
        <f t="shared" ca="1" si="13"/>
        <v/>
      </c>
      <c r="Y110" s="3" t="str">
        <f t="shared" ca="1" si="17"/>
        <v/>
      </c>
    </row>
    <row r="111" spans="1:25" s="3" customFormat="1" x14ac:dyDescent="0.4">
      <c r="A111" s="34" t="str">
        <f t="shared" si="15"/>
        <v/>
      </c>
      <c r="B111" s="15"/>
      <c r="C111" s="16"/>
      <c r="D111" s="5"/>
      <c r="E111" s="5"/>
      <c r="F111" s="79"/>
      <c r="G111" s="80"/>
      <c r="H111" s="80"/>
      <c r="I111" s="81"/>
      <c r="J111" s="16"/>
      <c r="K111" s="5"/>
      <c r="L111" s="5"/>
      <c r="M111" s="64"/>
      <c r="N111" s="65"/>
      <c r="O111" s="66"/>
      <c r="P111" s="17"/>
      <c r="Q111" s="50"/>
      <c r="R111" s="6"/>
      <c r="S111" s="58"/>
      <c r="T111" s="63" t="str">
        <f t="shared" ca="1" si="16"/>
        <v/>
      </c>
      <c r="U111" s="3" t="str">
        <f t="shared" ca="1" si="10"/>
        <v/>
      </c>
      <c r="V111" s="3" t="str">
        <f t="shared" ca="1" si="11"/>
        <v/>
      </c>
      <c r="W111" s="1" t="str">
        <f t="shared" ca="1" si="12"/>
        <v/>
      </c>
      <c r="X111" s="1" t="str">
        <f t="shared" ca="1" si="13"/>
        <v/>
      </c>
      <c r="Y111" s="3" t="str">
        <f t="shared" ca="1" si="17"/>
        <v/>
      </c>
    </row>
    <row r="112" spans="1:25" s="3" customFormat="1" x14ac:dyDescent="0.4">
      <c r="A112" s="34" t="str">
        <f t="shared" si="15"/>
        <v/>
      </c>
      <c r="B112" s="15"/>
      <c r="C112" s="16"/>
      <c r="D112" s="5"/>
      <c r="E112" s="5"/>
      <c r="F112" s="79"/>
      <c r="G112" s="80"/>
      <c r="H112" s="80"/>
      <c r="I112" s="81"/>
      <c r="J112" s="16"/>
      <c r="K112" s="5"/>
      <c r="L112" s="5"/>
      <c r="M112" s="64"/>
      <c r="N112" s="65"/>
      <c r="O112" s="66"/>
      <c r="P112" s="17"/>
      <c r="Q112" s="50"/>
      <c r="R112" s="6"/>
      <c r="S112" s="58"/>
      <c r="T112" s="63" t="str">
        <f t="shared" ca="1" si="16"/>
        <v/>
      </c>
      <c r="U112" s="3" t="str">
        <f t="shared" ca="1" si="10"/>
        <v/>
      </c>
      <c r="V112" s="3" t="str">
        <f t="shared" ca="1" si="11"/>
        <v/>
      </c>
      <c r="W112" s="1" t="str">
        <f t="shared" ca="1" si="12"/>
        <v/>
      </c>
      <c r="X112" s="1" t="str">
        <f t="shared" ca="1" si="13"/>
        <v/>
      </c>
      <c r="Y112" s="3" t="str">
        <f t="shared" ca="1" si="17"/>
        <v/>
      </c>
    </row>
    <row r="113" spans="1:25" s="3" customFormat="1" x14ac:dyDescent="0.4">
      <c r="A113" s="34" t="str">
        <f t="shared" si="15"/>
        <v/>
      </c>
      <c r="B113" s="15"/>
      <c r="C113" s="16"/>
      <c r="D113" s="5"/>
      <c r="E113" s="5"/>
      <c r="F113" s="79"/>
      <c r="G113" s="80"/>
      <c r="H113" s="80"/>
      <c r="I113" s="81"/>
      <c r="J113" s="16"/>
      <c r="K113" s="5"/>
      <c r="L113" s="5"/>
      <c r="M113" s="64"/>
      <c r="N113" s="65"/>
      <c r="O113" s="66"/>
      <c r="P113" s="17"/>
      <c r="Q113" s="50"/>
      <c r="R113" s="6"/>
      <c r="S113" s="58"/>
      <c r="T113" s="63" t="str">
        <f t="shared" ca="1" si="16"/>
        <v/>
      </c>
      <c r="U113" s="3" t="str">
        <f t="shared" ca="1" si="10"/>
        <v/>
      </c>
      <c r="V113" s="3" t="str">
        <f t="shared" ca="1" si="11"/>
        <v/>
      </c>
      <c r="W113" s="1" t="str">
        <f t="shared" ca="1" si="12"/>
        <v/>
      </c>
      <c r="X113" s="1" t="str">
        <f t="shared" ca="1" si="13"/>
        <v/>
      </c>
      <c r="Y113" s="3" t="str">
        <f t="shared" ca="1" si="17"/>
        <v/>
      </c>
    </row>
    <row r="114" spans="1:25" s="3" customFormat="1" x14ac:dyDescent="0.4">
      <c r="A114" s="34" t="str">
        <f t="shared" si="15"/>
        <v/>
      </c>
      <c r="B114" s="15"/>
      <c r="C114" s="16"/>
      <c r="D114" s="5"/>
      <c r="E114" s="5"/>
      <c r="F114" s="79"/>
      <c r="G114" s="80"/>
      <c r="H114" s="80"/>
      <c r="I114" s="81"/>
      <c r="J114" s="16"/>
      <c r="K114" s="5"/>
      <c r="L114" s="5"/>
      <c r="M114" s="64"/>
      <c r="N114" s="65"/>
      <c r="O114" s="66"/>
      <c r="P114" s="17"/>
      <c r="Q114" s="50"/>
      <c r="R114" s="6"/>
      <c r="S114" s="58"/>
      <c r="T114" s="63" t="str">
        <f t="shared" ca="1" si="16"/>
        <v/>
      </c>
      <c r="U114" s="3" t="str">
        <f t="shared" ca="1" si="10"/>
        <v/>
      </c>
      <c r="V114" s="3" t="str">
        <f t="shared" ca="1" si="11"/>
        <v/>
      </c>
      <c r="W114" s="1" t="str">
        <f t="shared" ca="1" si="12"/>
        <v/>
      </c>
      <c r="X114" s="1" t="str">
        <f t="shared" ca="1" si="13"/>
        <v/>
      </c>
      <c r="Y114" s="3" t="str">
        <f t="shared" ca="1" si="17"/>
        <v/>
      </c>
    </row>
    <row r="115" spans="1:25" s="3" customFormat="1" x14ac:dyDescent="0.4">
      <c r="A115" s="34" t="str">
        <f t="shared" si="15"/>
        <v/>
      </c>
      <c r="B115" s="15"/>
      <c r="C115" s="16"/>
      <c r="D115" s="5"/>
      <c r="E115" s="5"/>
      <c r="F115" s="79"/>
      <c r="G115" s="80"/>
      <c r="H115" s="80"/>
      <c r="I115" s="81"/>
      <c r="J115" s="16"/>
      <c r="K115" s="5"/>
      <c r="L115" s="5"/>
      <c r="M115" s="64"/>
      <c r="N115" s="65"/>
      <c r="O115" s="66"/>
      <c r="P115" s="17"/>
      <c r="Q115" s="50"/>
      <c r="R115" s="6"/>
      <c r="S115" s="58"/>
      <c r="T115" s="63" t="str">
        <f t="shared" ca="1" si="16"/>
        <v/>
      </c>
      <c r="U115" s="3" t="str">
        <f t="shared" ca="1" si="10"/>
        <v/>
      </c>
      <c r="V115" s="3" t="str">
        <f t="shared" ca="1" si="11"/>
        <v/>
      </c>
      <c r="W115" s="1" t="str">
        <f t="shared" ca="1" si="12"/>
        <v/>
      </c>
      <c r="X115" s="1" t="str">
        <f t="shared" ca="1" si="13"/>
        <v/>
      </c>
      <c r="Y115" s="3" t="str">
        <f t="shared" ca="1" si="17"/>
        <v/>
      </c>
    </row>
    <row r="116" spans="1:25" s="3" customFormat="1" x14ac:dyDescent="0.4">
      <c r="A116" s="34" t="str">
        <f t="shared" si="15"/>
        <v/>
      </c>
      <c r="B116" s="15"/>
      <c r="C116" s="16"/>
      <c r="D116" s="5"/>
      <c r="E116" s="5"/>
      <c r="F116" s="79"/>
      <c r="G116" s="80"/>
      <c r="H116" s="80"/>
      <c r="I116" s="81"/>
      <c r="J116" s="16"/>
      <c r="K116" s="5"/>
      <c r="L116" s="5"/>
      <c r="M116" s="64"/>
      <c r="N116" s="65"/>
      <c r="O116" s="66"/>
      <c r="P116" s="17"/>
      <c r="Q116" s="50"/>
      <c r="R116" s="6"/>
      <c r="S116" s="58"/>
      <c r="T116" s="63" t="str">
        <f t="shared" ca="1" si="16"/>
        <v/>
      </c>
      <c r="U116" s="3" t="str">
        <f t="shared" ca="1" si="10"/>
        <v/>
      </c>
      <c r="V116" s="3" t="str">
        <f t="shared" ca="1" si="11"/>
        <v/>
      </c>
      <c r="W116" s="1" t="str">
        <f t="shared" ca="1" si="12"/>
        <v/>
      </c>
      <c r="X116" s="1" t="str">
        <f t="shared" ca="1" si="13"/>
        <v/>
      </c>
      <c r="Y116" s="3" t="str">
        <f t="shared" ca="1" si="17"/>
        <v/>
      </c>
    </row>
    <row r="117" spans="1:25" s="3" customFormat="1" x14ac:dyDescent="0.4">
      <c r="A117" s="34" t="str">
        <f t="shared" si="15"/>
        <v/>
      </c>
      <c r="B117" s="15"/>
      <c r="C117" s="16"/>
      <c r="D117" s="5"/>
      <c r="E117" s="5"/>
      <c r="F117" s="79"/>
      <c r="G117" s="80"/>
      <c r="H117" s="80"/>
      <c r="I117" s="81"/>
      <c r="J117" s="16"/>
      <c r="K117" s="5"/>
      <c r="L117" s="5"/>
      <c r="M117" s="64"/>
      <c r="N117" s="65"/>
      <c r="O117" s="66"/>
      <c r="P117" s="17"/>
      <c r="Q117" s="50"/>
      <c r="R117" s="6"/>
      <c r="S117" s="58"/>
      <c r="T117" s="63" t="str">
        <f t="shared" ca="1" si="16"/>
        <v/>
      </c>
      <c r="U117" s="3" t="str">
        <f t="shared" ca="1" si="10"/>
        <v/>
      </c>
      <c r="V117" s="3" t="str">
        <f t="shared" ca="1" si="11"/>
        <v/>
      </c>
      <c r="W117" s="1" t="str">
        <f t="shared" ca="1" si="12"/>
        <v/>
      </c>
      <c r="X117" s="1" t="str">
        <f t="shared" ca="1" si="13"/>
        <v/>
      </c>
      <c r="Y117" s="3" t="str">
        <f t="shared" ca="1" si="17"/>
        <v/>
      </c>
    </row>
    <row r="118" spans="1:25" s="3" customFormat="1" x14ac:dyDescent="0.4">
      <c r="A118" s="34" t="str">
        <f t="shared" si="15"/>
        <v/>
      </c>
      <c r="B118" s="15"/>
      <c r="C118" s="16"/>
      <c r="D118" s="5"/>
      <c r="E118" s="5"/>
      <c r="F118" s="79"/>
      <c r="G118" s="80"/>
      <c r="H118" s="80"/>
      <c r="I118" s="81"/>
      <c r="J118" s="16"/>
      <c r="K118" s="5"/>
      <c r="L118" s="5"/>
      <c r="M118" s="64"/>
      <c r="N118" s="65"/>
      <c r="O118" s="66"/>
      <c r="P118" s="17"/>
      <c r="Q118" s="50"/>
      <c r="R118" s="6"/>
      <c r="S118" s="58"/>
      <c r="T118" s="63" t="str">
        <f t="shared" ca="1" si="16"/>
        <v/>
      </c>
      <c r="U118" s="3" t="str">
        <f t="shared" ca="1" si="10"/>
        <v/>
      </c>
      <c r="V118" s="3" t="str">
        <f t="shared" ca="1" si="11"/>
        <v/>
      </c>
      <c r="W118" s="1" t="str">
        <f t="shared" ca="1" si="12"/>
        <v/>
      </c>
      <c r="X118" s="1" t="str">
        <f t="shared" ca="1" si="13"/>
        <v/>
      </c>
      <c r="Y118" s="3" t="str">
        <f t="shared" ca="1" si="17"/>
        <v/>
      </c>
    </row>
    <row r="119" spans="1:25" s="3" customFormat="1" x14ac:dyDescent="0.4">
      <c r="A119" s="34" t="str">
        <f t="shared" si="15"/>
        <v/>
      </c>
      <c r="B119" s="15"/>
      <c r="C119" s="16"/>
      <c r="D119" s="5"/>
      <c r="E119" s="5"/>
      <c r="F119" s="79"/>
      <c r="G119" s="80"/>
      <c r="H119" s="80"/>
      <c r="I119" s="81"/>
      <c r="J119" s="16"/>
      <c r="K119" s="5"/>
      <c r="L119" s="5"/>
      <c r="M119" s="64"/>
      <c r="N119" s="65"/>
      <c r="O119" s="66"/>
      <c r="P119" s="17"/>
      <c r="Q119" s="50"/>
      <c r="R119" s="6"/>
      <c r="S119" s="58"/>
      <c r="T119" s="63" t="str">
        <f t="shared" ca="1" si="16"/>
        <v/>
      </c>
      <c r="U119" s="3" t="str">
        <f t="shared" ca="1" si="10"/>
        <v/>
      </c>
      <c r="V119" s="3" t="str">
        <f t="shared" ca="1" si="11"/>
        <v/>
      </c>
      <c r="W119" s="1" t="str">
        <f t="shared" ca="1" si="12"/>
        <v/>
      </c>
      <c r="X119" s="1" t="str">
        <f t="shared" ca="1" si="13"/>
        <v/>
      </c>
      <c r="Y119" s="3" t="str">
        <f t="shared" ca="1" si="17"/>
        <v/>
      </c>
    </row>
    <row r="120" spans="1:25" s="3" customFormat="1" x14ac:dyDescent="0.4">
      <c r="A120" s="34" t="str">
        <f t="shared" si="15"/>
        <v/>
      </c>
      <c r="B120" s="15"/>
      <c r="C120" s="16"/>
      <c r="D120" s="5"/>
      <c r="E120" s="5"/>
      <c r="F120" s="79"/>
      <c r="G120" s="80"/>
      <c r="H120" s="80"/>
      <c r="I120" s="81"/>
      <c r="J120" s="16"/>
      <c r="K120" s="5"/>
      <c r="L120" s="5"/>
      <c r="M120" s="64"/>
      <c r="N120" s="65"/>
      <c r="O120" s="66"/>
      <c r="P120" s="17"/>
      <c r="Q120" s="50"/>
      <c r="R120" s="6"/>
      <c r="S120" s="58"/>
      <c r="T120" s="63" t="str">
        <f t="shared" ca="1" si="16"/>
        <v/>
      </c>
      <c r="U120" s="3" t="str">
        <f t="shared" ca="1" si="10"/>
        <v/>
      </c>
      <c r="V120" s="3" t="str">
        <f t="shared" ca="1" si="11"/>
        <v/>
      </c>
      <c r="W120" s="1" t="str">
        <f t="shared" ca="1" si="12"/>
        <v/>
      </c>
      <c r="X120" s="1" t="str">
        <f t="shared" ca="1" si="13"/>
        <v/>
      </c>
      <c r="Y120" s="3" t="str">
        <f t="shared" ca="1" si="17"/>
        <v/>
      </c>
    </row>
    <row r="121" spans="1:25" s="3" customFormat="1" x14ac:dyDescent="0.4">
      <c r="A121" s="34" t="str">
        <f t="shared" si="15"/>
        <v/>
      </c>
      <c r="B121" s="15"/>
      <c r="C121" s="16"/>
      <c r="D121" s="5"/>
      <c r="E121" s="5"/>
      <c r="F121" s="79"/>
      <c r="G121" s="80"/>
      <c r="H121" s="80"/>
      <c r="I121" s="81"/>
      <c r="J121" s="16"/>
      <c r="K121" s="5"/>
      <c r="L121" s="5"/>
      <c r="M121" s="64"/>
      <c r="N121" s="65"/>
      <c r="O121" s="66"/>
      <c r="P121" s="17"/>
      <c r="Q121" s="50"/>
      <c r="R121" s="6"/>
      <c r="S121" s="58"/>
      <c r="T121" s="63" t="str">
        <f t="shared" ca="1" si="16"/>
        <v/>
      </c>
      <c r="U121" s="3" t="str">
        <f t="shared" ca="1" si="10"/>
        <v/>
      </c>
      <c r="V121" s="3" t="str">
        <f t="shared" ca="1" si="11"/>
        <v/>
      </c>
      <c r="W121" s="1" t="str">
        <f t="shared" ca="1" si="12"/>
        <v/>
      </c>
      <c r="X121" s="1" t="str">
        <f t="shared" ca="1" si="13"/>
        <v/>
      </c>
      <c r="Y121" s="3" t="str">
        <f t="shared" ca="1" si="17"/>
        <v/>
      </c>
    </row>
    <row r="122" spans="1:25" s="3" customFormat="1" x14ac:dyDescent="0.4">
      <c r="A122" s="34" t="str">
        <f t="shared" si="15"/>
        <v/>
      </c>
      <c r="B122" s="15"/>
      <c r="C122" s="16"/>
      <c r="D122" s="5"/>
      <c r="E122" s="5"/>
      <c r="F122" s="79"/>
      <c r="G122" s="80"/>
      <c r="H122" s="80"/>
      <c r="I122" s="81"/>
      <c r="J122" s="16"/>
      <c r="K122" s="5"/>
      <c r="L122" s="5"/>
      <c r="M122" s="64"/>
      <c r="N122" s="65"/>
      <c r="O122" s="66"/>
      <c r="P122" s="17"/>
      <c r="Q122" s="50"/>
      <c r="R122" s="6"/>
      <c r="S122" s="58"/>
      <c r="T122" s="63" t="str">
        <f t="shared" ca="1" si="16"/>
        <v/>
      </c>
      <c r="U122" s="3" t="str">
        <f t="shared" ca="1" si="10"/>
        <v/>
      </c>
      <c r="V122" s="3" t="str">
        <f t="shared" ca="1" si="11"/>
        <v/>
      </c>
      <c r="W122" s="1" t="str">
        <f t="shared" ca="1" si="12"/>
        <v/>
      </c>
      <c r="X122" s="1" t="str">
        <f t="shared" ca="1" si="13"/>
        <v/>
      </c>
      <c r="Y122" s="3" t="str">
        <f t="shared" ca="1" si="17"/>
        <v/>
      </c>
    </row>
    <row r="123" spans="1:25" s="3" customFormat="1" x14ac:dyDescent="0.4">
      <c r="A123" s="34" t="str">
        <f t="shared" si="15"/>
        <v/>
      </c>
      <c r="B123" s="15"/>
      <c r="C123" s="16"/>
      <c r="D123" s="5"/>
      <c r="E123" s="5"/>
      <c r="F123" s="79"/>
      <c r="G123" s="80"/>
      <c r="H123" s="80"/>
      <c r="I123" s="81"/>
      <c r="J123" s="16"/>
      <c r="K123" s="5"/>
      <c r="L123" s="5"/>
      <c r="M123" s="64"/>
      <c r="N123" s="65"/>
      <c r="O123" s="66"/>
      <c r="P123" s="17"/>
      <c r="Q123" s="50"/>
      <c r="R123" s="6"/>
      <c r="S123" s="58"/>
      <c r="T123" s="63" t="str">
        <f t="shared" ca="1" si="16"/>
        <v/>
      </c>
      <c r="U123" s="3" t="str">
        <f t="shared" ca="1" si="10"/>
        <v/>
      </c>
      <c r="V123" s="3" t="str">
        <f t="shared" ca="1" si="11"/>
        <v/>
      </c>
      <c r="W123" s="1" t="str">
        <f t="shared" ca="1" si="12"/>
        <v/>
      </c>
      <c r="X123" s="1" t="str">
        <f t="shared" ca="1" si="13"/>
        <v/>
      </c>
      <c r="Y123" s="3" t="str">
        <f t="shared" ca="1" si="17"/>
        <v/>
      </c>
    </row>
    <row r="124" spans="1:25" s="3" customFormat="1" x14ac:dyDescent="0.4">
      <c r="A124" s="34" t="str">
        <f t="shared" si="15"/>
        <v/>
      </c>
      <c r="B124" s="15"/>
      <c r="C124" s="16"/>
      <c r="D124" s="5"/>
      <c r="E124" s="5"/>
      <c r="F124" s="79"/>
      <c r="G124" s="80"/>
      <c r="H124" s="80"/>
      <c r="I124" s="81"/>
      <c r="J124" s="16"/>
      <c r="K124" s="5"/>
      <c r="L124" s="5"/>
      <c r="M124" s="64"/>
      <c r="N124" s="65"/>
      <c r="O124" s="66"/>
      <c r="P124" s="17"/>
      <c r="Q124" s="50"/>
      <c r="R124" s="6"/>
      <c r="S124" s="58"/>
      <c r="T124" s="63" t="str">
        <f t="shared" ca="1" si="16"/>
        <v/>
      </c>
      <c r="U124" s="3" t="str">
        <f t="shared" ca="1" si="10"/>
        <v/>
      </c>
      <c r="V124" s="3" t="str">
        <f t="shared" ca="1" si="11"/>
        <v/>
      </c>
      <c r="W124" s="1" t="str">
        <f t="shared" ca="1" si="12"/>
        <v/>
      </c>
      <c r="X124" s="1" t="str">
        <f t="shared" ca="1" si="13"/>
        <v/>
      </c>
      <c r="Y124" s="3" t="str">
        <f t="shared" ca="1" si="17"/>
        <v/>
      </c>
    </row>
    <row r="125" spans="1:25" s="3" customFormat="1" x14ac:dyDescent="0.4">
      <c r="A125" s="34" t="str">
        <f t="shared" si="15"/>
        <v/>
      </c>
      <c r="B125" s="15"/>
      <c r="C125" s="16"/>
      <c r="D125" s="5"/>
      <c r="E125" s="5"/>
      <c r="F125" s="79"/>
      <c r="G125" s="80"/>
      <c r="H125" s="80"/>
      <c r="I125" s="81"/>
      <c r="J125" s="16"/>
      <c r="K125" s="5"/>
      <c r="L125" s="5"/>
      <c r="M125" s="64"/>
      <c r="N125" s="65"/>
      <c r="O125" s="66"/>
      <c r="P125" s="17"/>
      <c r="Q125" s="50"/>
      <c r="R125" s="6"/>
      <c r="S125" s="58"/>
      <c r="T125" s="63" t="str">
        <f t="shared" ca="1" si="16"/>
        <v/>
      </c>
      <c r="U125" s="3" t="str">
        <f t="shared" ca="1" si="10"/>
        <v/>
      </c>
      <c r="V125" s="3" t="str">
        <f t="shared" ca="1" si="11"/>
        <v/>
      </c>
      <c r="W125" s="1" t="str">
        <f t="shared" ca="1" si="12"/>
        <v/>
      </c>
      <c r="X125" s="1" t="str">
        <f t="shared" ca="1" si="13"/>
        <v/>
      </c>
      <c r="Y125" s="3" t="str">
        <f t="shared" ca="1" si="17"/>
        <v/>
      </c>
    </row>
    <row r="126" spans="1:25" s="3" customFormat="1" x14ac:dyDescent="0.4">
      <c r="A126" s="34" t="str">
        <f t="shared" si="15"/>
        <v/>
      </c>
      <c r="B126" s="15"/>
      <c r="C126" s="16"/>
      <c r="D126" s="5"/>
      <c r="E126" s="5"/>
      <c r="F126" s="79"/>
      <c r="G126" s="80"/>
      <c r="H126" s="80"/>
      <c r="I126" s="81"/>
      <c r="J126" s="16"/>
      <c r="K126" s="5"/>
      <c r="L126" s="5"/>
      <c r="M126" s="64"/>
      <c r="N126" s="65"/>
      <c r="O126" s="66"/>
      <c r="P126" s="17"/>
      <c r="Q126" s="50"/>
      <c r="R126" s="6"/>
      <c r="S126" s="58"/>
      <c r="T126" s="63" t="str">
        <f t="shared" ca="1" si="16"/>
        <v/>
      </c>
      <c r="U126" s="3" t="str">
        <f t="shared" ca="1" si="10"/>
        <v/>
      </c>
      <c r="V126" s="3" t="str">
        <f t="shared" ca="1" si="11"/>
        <v/>
      </c>
      <c r="W126" s="1" t="str">
        <f t="shared" ca="1" si="12"/>
        <v/>
      </c>
      <c r="X126" s="1" t="str">
        <f t="shared" ca="1" si="13"/>
        <v/>
      </c>
      <c r="Y126" s="3" t="str">
        <f t="shared" ca="1" si="17"/>
        <v/>
      </c>
    </row>
    <row r="127" spans="1:25" s="3" customFormat="1" x14ac:dyDescent="0.4">
      <c r="A127" s="34" t="str">
        <f t="shared" si="15"/>
        <v/>
      </c>
      <c r="B127" s="15"/>
      <c r="C127" s="16"/>
      <c r="D127" s="5"/>
      <c r="E127" s="5"/>
      <c r="F127" s="79"/>
      <c r="G127" s="80"/>
      <c r="H127" s="80"/>
      <c r="I127" s="81"/>
      <c r="J127" s="16"/>
      <c r="K127" s="5"/>
      <c r="L127" s="5"/>
      <c r="M127" s="64"/>
      <c r="N127" s="65"/>
      <c r="O127" s="66"/>
      <c r="P127" s="17"/>
      <c r="Q127" s="50"/>
      <c r="R127" s="6"/>
      <c r="S127" s="58"/>
      <c r="T127" s="63" t="str">
        <f t="shared" ca="1" si="16"/>
        <v/>
      </c>
      <c r="U127" s="3" t="str">
        <f t="shared" ca="1" si="10"/>
        <v/>
      </c>
      <c r="V127" s="3" t="str">
        <f t="shared" ca="1" si="11"/>
        <v/>
      </c>
      <c r="W127" s="1" t="str">
        <f t="shared" ca="1" si="12"/>
        <v/>
      </c>
      <c r="X127" s="1" t="str">
        <f t="shared" ca="1" si="13"/>
        <v/>
      </c>
      <c r="Y127" s="3" t="str">
        <f t="shared" ca="1" si="17"/>
        <v/>
      </c>
    </row>
    <row r="128" spans="1:25" s="3" customFormat="1" x14ac:dyDescent="0.4">
      <c r="A128" s="34" t="str">
        <f t="shared" si="15"/>
        <v/>
      </c>
      <c r="B128" s="15"/>
      <c r="C128" s="16"/>
      <c r="D128" s="5"/>
      <c r="E128" s="5"/>
      <c r="F128" s="79"/>
      <c r="G128" s="80"/>
      <c r="H128" s="80"/>
      <c r="I128" s="81"/>
      <c r="J128" s="16"/>
      <c r="K128" s="5"/>
      <c r="L128" s="5"/>
      <c r="M128" s="64"/>
      <c r="N128" s="65"/>
      <c r="O128" s="66"/>
      <c r="P128" s="17"/>
      <c r="Q128" s="50"/>
      <c r="R128" s="6"/>
      <c r="S128" s="58"/>
      <c r="T128" s="63" t="str">
        <f t="shared" ca="1" si="16"/>
        <v/>
      </c>
      <c r="U128" s="3" t="str">
        <f t="shared" ca="1" si="10"/>
        <v/>
      </c>
      <c r="V128" s="3" t="str">
        <f t="shared" ca="1" si="11"/>
        <v/>
      </c>
      <c r="W128" s="1" t="str">
        <f t="shared" ca="1" si="12"/>
        <v/>
      </c>
      <c r="X128" s="1" t="str">
        <f t="shared" ca="1" si="13"/>
        <v/>
      </c>
      <c r="Y128" s="3" t="str">
        <f t="shared" ca="1" si="17"/>
        <v/>
      </c>
    </row>
    <row r="129" spans="1:25" s="3" customFormat="1" x14ac:dyDescent="0.4">
      <c r="A129" s="34" t="str">
        <f t="shared" si="15"/>
        <v/>
      </c>
      <c r="B129" s="15"/>
      <c r="C129" s="16"/>
      <c r="D129" s="5"/>
      <c r="E129" s="5"/>
      <c r="F129" s="79"/>
      <c r="G129" s="80"/>
      <c r="H129" s="80"/>
      <c r="I129" s="81"/>
      <c r="J129" s="16"/>
      <c r="K129" s="5"/>
      <c r="L129" s="5"/>
      <c r="M129" s="64"/>
      <c r="N129" s="65"/>
      <c r="O129" s="66"/>
      <c r="P129" s="17"/>
      <c r="Q129" s="50"/>
      <c r="R129" s="6"/>
      <c r="S129" s="58"/>
      <c r="T129" s="63" t="str">
        <f t="shared" ca="1" si="16"/>
        <v/>
      </c>
      <c r="U129" s="3" t="str">
        <f t="shared" ca="1" si="10"/>
        <v/>
      </c>
      <c r="V129" s="3" t="str">
        <f t="shared" ca="1" si="11"/>
        <v/>
      </c>
      <c r="W129" s="1" t="str">
        <f t="shared" ca="1" si="12"/>
        <v/>
      </c>
      <c r="X129" s="1" t="str">
        <f t="shared" ca="1" si="13"/>
        <v/>
      </c>
      <c r="Y129" s="3" t="str">
        <f t="shared" ca="1" si="17"/>
        <v/>
      </c>
    </row>
    <row r="130" spans="1:25" s="3" customFormat="1" x14ac:dyDescent="0.4">
      <c r="A130" s="34" t="str">
        <f t="shared" si="15"/>
        <v/>
      </c>
      <c r="B130" s="15"/>
      <c r="C130" s="16"/>
      <c r="D130" s="5"/>
      <c r="E130" s="5"/>
      <c r="F130" s="79"/>
      <c r="G130" s="80"/>
      <c r="H130" s="80"/>
      <c r="I130" s="81"/>
      <c r="J130" s="16"/>
      <c r="K130" s="5"/>
      <c r="L130" s="5"/>
      <c r="M130" s="64"/>
      <c r="N130" s="65"/>
      <c r="O130" s="66"/>
      <c r="P130" s="17"/>
      <c r="Q130" s="50"/>
      <c r="R130" s="6"/>
      <c r="S130" s="58"/>
      <c r="T130" s="63" t="str">
        <f t="shared" ca="1" si="16"/>
        <v/>
      </c>
      <c r="U130" s="3" t="str">
        <f t="shared" ca="1" si="10"/>
        <v/>
      </c>
      <c r="V130" s="3" t="str">
        <f t="shared" ca="1" si="11"/>
        <v/>
      </c>
      <c r="W130" s="1" t="str">
        <f t="shared" ca="1" si="12"/>
        <v/>
      </c>
      <c r="X130" s="1" t="str">
        <f t="shared" ca="1" si="13"/>
        <v/>
      </c>
      <c r="Y130" s="3" t="str">
        <f t="shared" ca="1" si="17"/>
        <v/>
      </c>
    </row>
    <row r="131" spans="1:25" s="3" customFormat="1" x14ac:dyDescent="0.4">
      <c r="A131" s="34" t="str">
        <f t="shared" si="15"/>
        <v/>
      </c>
      <c r="B131" s="15"/>
      <c r="C131" s="16"/>
      <c r="D131" s="5"/>
      <c r="E131" s="5"/>
      <c r="F131" s="79"/>
      <c r="G131" s="80"/>
      <c r="H131" s="80"/>
      <c r="I131" s="81"/>
      <c r="J131" s="16"/>
      <c r="K131" s="5"/>
      <c r="L131" s="5"/>
      <c r="M131" s="64"/>
      <c r="N131" s="65"/>
      <c r="O131" s="66"/>
      <c r="P131" s="17"/>
      <c r="Q131" s="50"/>
      <c r="R131" s="6"/>
      <c r="S131" s="58"/>
      <c r="T131" s="63" t="str">
        <f t="shared" ca="1" si="16"/>
        <v/>
      </c>
      <c r="U131" s="3" t="str">
        <f t="shared" ca="1" si="10"/>
        <v/>
      </c>
      <c r="V131" s="3" t="str">
        <f t="shared" ca="1" si="11"/>
        <v/>
      </c>
      <c r="W131" s="1" t="str">
        <f t="shared" ca="1" si="12"/>
        <v/>
      </c>
      <c r="X131" s="1" t="str">
        <f t="shared" ca="1" si="13"/>
        <v/>
      </c>
      <c r="Y131" s="3" t="str">
        <f t="shared" ca="1" si="17"/>
        <v/>
      </c>
    </row>
    <row r="132" spans="1:25" s="3" customFormat="1" x14ac:dyDescent="0.4">
      <c r="A132" s="34" t="str">
        <f t="shared" si="15"/>
        <v/>
      </c>
      <c r="B132" s="15"/>
      <c r="C132" s="16"/>
      <c r="D132" s="5"/>
      <c r="E132" s="5"/>
      <c r="F132" s="79"/>
      <c r="G132" s="80"/>
      <c r="H132" s="80"/>
      <c r="I132" s="81"/>
      <c r="J132" s="16"/>
      <c r="K132" s="5"/>
      <c r="L132" s="5"/>
      <c r="M132" s="64"/>
      <c r="N132" s="65"/>
      <c r="O132" s="66"/>
      <c r="P132" s="17"/>
      <c r="Q132" s="50"/>
      <c r="R132" s="6"/>
      <c r="S132" s="58"/>
      <c r="T132" s="63" t="str">
        <f t="shared" ca="1" si="16"/>
        <v/>
      </c>
      <c r="U132" s="3" t="str">
        <f t="shared" ca="1" si="10"/>
        <v/>
      </c>
      <c r="V132" s="3" t="str">
        <f t="shared" ca="1" si="11"/>
        <v/>
      </c>
      <c r="W132" s="1" t="str">
        <f t="shared" ca="1" si="12"/>
        <v/>
      </c>
      <c r="X132" s="1" t="str">
        <f t="shared" ca="1" si="13"/>
        <v/>
      </c>
      <c r="Y132" s="3" t="str">
        <f t="shared" ca="1" si="17"/>
        <v/>
      </c>
    </row>
    <row r="133" spans="1:25" s="3" customFormat="1" x14ac:dyDescent="0.4">
      <c r="A133" s="34" t="str">
        <f t="shared" si="15"/>
        <v/>
      </c>
      <c r="B133" s="15"/>
      <c r="C133" s="16"/>
      <c r="D133" s="5"/>
      <c r="E133" s="5"/>
      <c r="F133" s="79"/>
      <c r="G133" s="80"/>
      <c r="H133" s="80"/>
      <c r="I133" s="81"/>
      <c r="J133" s="16"/>
      <c r="K133" s="5"/>
      <c r="L133" s="5"/>
      <c r="M133" s="64"/>
      <c r="N133" s="65"/>
      <c r="O133" s="66"/>
      <c r="P133" s="17"/>
      <c r="Q133" s="50"/>
      <c r="R133" s="6"/>
      <c r="S133" s="58"/>
      <c r="T133" s="63" t="str">
        <f t="shared" ref="T133:T164" ca="1" si="18">IF(ISNA(VLOOKUP(E133,地址類別Mapping,2,FALSE)),"",VLOOKUP(E133,地址類別Mapping,2,FALSE))</f>
        <v/>
      </c>
      <c r="U133" s="3" t="str">
        <f t="shared" ref="U133:U196" ca="1" si="19">IF(ISNA(VLOOKUP(F133&amp;"-"&amp;G133,郵遞區號,2,FALSE)),"",VLOOKUP(F133&amp;"-"&amp;G133,郵遞區號,2,FALSE))</f>
        <v/>
      </c>
      <c r="V133" s="3" t="str">
        <f t="shared" ref="V133:V196" ca="1" si="20">IF(ISNA(VLOOKUP(M133&amp;"-"&amp;N133,郵遞區號,2,FALSE)),"",VLOOKUP(M133&amp;"-"&amp;N133,郵遞區號,2,FALSE))</f>
        <v/>
      </c>
      <c r="W133" s="1" t="str">
        <f t="shared" ref="W133:W196" ca="1" si="21">IF(ISNA(VLOOKUP(B133,郵件種類MAPPING,2,FALSE)),"",VLOOKUP(B133,郵件種類MAPPING,2,FALSE))</f>
        <v/>
      </c>
      <c r="X133" s="1" t="str">
        <f t="shared" ref="X133:X196" ca="1" si="22">IF(ISNA(VLOOKUP(R133,箱袋種類Mapping,2,FALSE)),"",VLOOKUP(R133,箱袋種類Mapping,2,FALSE))</f>
        <v/>
      </c>
      <c r="Y133" s="3" t="str">
        <f t="shared" ref="Y133:Y164" ca="1" si="23">IF(ISNA(VLOOKUP(B133,郵件種類MAPPING,2,FALSE)),"","203")</f>
        <v/>
      </c>
    </row>
    <row r="134" spans="1:25" s="3" customFormat="1" x14ac:dyDescent="0.4">
      <c r="A134" s="34" t="str">
        <f t="shared" ref="A134:A197" si="24">IF(NOT(COUNTA(B134:I134)),"",ROW()-4)</f>
        <v/>
      </c>
      <c r="B134" s="15"/>
      <c r="C134" s="16"/>
      <c r="D134" s="5"/>
      <c r="E134" s="5"/>
      <c r="F134" s="79"/>
      <c r="G134" s="80"/>
      <c r="H134" s="80"/>
      <c r="I134" s="81"/>
      <c r="J134" s="16"/>
      <c r="K134" s="5"/>
      <c r="L134" s="5"/>
      <c r="M134" s="64"/>
      <c r="N134" s="65"/>
      <c r="O134" s="66"/>
      <c r="P134" s="17"/>
      <c r="Q134" s="50"/>
      <c r="R134" s="6"/>
      <c r="S134" s="58"/>
      <c r="T134" s="63" t="str">
        <f t="shared" ca="1" si="18"/>
        <v/>
      </c>
      <c r="U134" s="3" t="str">
        <f t="shared" ca="1" si="19"/>
        <v/>
      </c>
      <c r="V134" s="3" t="str">
        <f t="shared" ca="1" si="20"/>
        <v/>
      </c>
      <c r="W134" s="1" t="str">
        <f t="shared" ca="1" si="21"/>
        <v/>
      </c>
      <c r="X134" s="1" t="str">
        <f t="shared" ca="1" si="22"/>
        <v/>
      </c>
      <c r="Y134" s="3" t="str">
        <f t="shared" ca="1" si="23"/>
        <v/>
      </c>
    </row>
    <row r="135" spans="1:25" s="3" customFormat="1" x14ac:dyDescent="0.4">
      <c r="A135" s="34" t="str">
        <f t="shared" si="24"/>
        <v/>
      </c>
      <c r="B135" s="15"/>
      <c r="C135" s="16"/>
      <c r="D135" s="5"/>
      <c r="E135" s="5"/>
      <c r="F135" s="79"/>
      <c r="G135" s="80"/>
      <c r="H135" s="80"/>
      <c r="I135" s="81"/>
      <c r="J135" s="16"/>
      <c r="K135" s="5"/>
      <c r="L135" s="5"/>
      <c r="M135" s="64"/>
      <c r="N135" s="65"/>
      <c r="O135" s="66"/>
      <c r="P135" s="17"/>
      <c r="Q135" s="50"/>
      <c r="R135" s="6"/>
      <c r="S135" s="58"/>
      <c r="T135" s="63" t="str">
        <f t="shared" ca="1" si="18"/>
        <v/>
      </c>
      <c r="U135" s="3" t="str">
        <f t="shared" ca="1" si="19"/>
        <v/>
      </c>
      <c r="V135" s="3" t="str">
        <f t="shared" ca="1" si="20"/>
        <v/>
      </c>
      <c r="W135" s="1" t="str">
        <f t="shared" ca="1" si="21"/>
        <v/>
      </c>
      <c r="X135" s="1" t="str">
        <f t="shared" ca="1" si="22"/>
        <v/>
      </c>
      <c r="Y135" s="3" t="str">
        <f t="shared" ca="1" si="23"/>
        <v/>
      </c>
    </row>
    <row r="136" spans="1:25" s="3" customFormat="1" x14ac:dyDescent="0.4">
      <c r="A136" s="34" t="str">
        <f t="shared" si="24"/>
        <v/>
      </c>
      <c r="B136" s="15"/>
      <c r="C136" s="16"/>
      <c r="D136" s="5"/>
      <c r="E136" s="5"/>
      <c r="F136" s="79"/>
      <c r="G136" s="80"/>
      <c r="H136" s="80"/>
      <c r="I136" s="81"/>
      <c r="J136" s="16"/>
      <c r="K136" s="5"/>
      <c r="L136" s="5"/>
      <c r="M136" s="64"/>
      <c r="N136" s="65"/>
      <c r="O136" s="66"/>
      <c r="P136" s="17"/>
      <c r="Q136" s="50"/>
      <c r="R136" s="6"/>
      <c r="S136" s="58"/>
      <c r="T136" s="63" t="str">
        <f t="shared" ca="1" si="18"/>
        <v/>
      </c>
      <c r="U136" s="3" t="str">
        <f t="shared" ca="1" si="19"/>
        <v/>
      </c>
      <c r="V136" s="3" t="str">
        <f t="shared" ca="1" si="20"/>
        <v/>
      </c>
      <c r="W136" s="1" t="str">
        <f t="shared" ca="1" si="21"/>
        <v/>
      </c>
      <c r="X136" s="1" t="str">
        <f t="shared" ca="1" si="22"/>
        <v/>
      </c>
      <c r="Y136" s="3" t="str">
        <f t="shared" ca="1" si="23"/>
        <v/>
      </c>
    </row>
    <row r="137" spans="1:25" s="3" customFormat="1" x14ac:dyDescent="0.4">
      <c r="A137" s="34" t="str">
        <f t="shared" si="24"/>
        <v/>
      </c>
      <c r="B137" s="15"/>
      <c r="C137" s="16"/>
      <c r="D137" s="5"/>
      <c r="E137" s="5"/>
      <c r="F137" s="79"/>
      <c r="G137" s="80"/>
      <c r="H137" s="80"/>
      <c r="I137" s="81"/>
      <c r="J137" s="16"/>
      <c r="K137" s="5"/>
      <c r="L137" s="5"/>
      <c r="M137" s="64"/>
      <c r="N137" s="65"/>
      <c r="O137" s="66"/>
      <c r="P137" s="17"/>
      <c r="Q137" s="50"/>
      <c r="R137" s="6"/>
      <c r="S137" s="58"/>
      <c r="T137" s="63" t="str">
        <f t="shared" ca="1" si="18"/>
        <v/>
      </c>
      <c r="U137" s="3" t="str">
        <f t="shared" ca="1" si="19"/>
        <v/>
      </c>
      <c r="V137" s="3" t="str">
        <f t="shared" ca="1" si="20"/>
        <v/>
      </c>
      <c r="W137" s="1" t="str">
        <f t="shared" ca="1" si="21"/>
        <v/>
      </c>
      <c r="X137" s="1" t="str">
        <f t="shared" ca="1" si="22"/>
        <v/>
      </c>
      <c r="Y137" s="3" t="str">
        <f t="shared" ca="1" si="23"/>
        <v/>
      </c>
    </row>
    <row r="138" spans="1:25" s="3" customFormat="1" x14ac:dyDescent="0.4">
      <c r="A138" s="34" t="str">
        <f t="shared" si="24"/>
        <v/>
      </c>
      <c r="B138" s="15"/>
      <c r="C138" s="16"/>
      <c r="D138" s="5"/>
      <c r="E138" s="5"/>
      <c r="F138" s="79"/>
      <c r="G138" s="80"/>
      <c r="H138" s="80"/>
      <c r="I138" s="81"/>
      <c r="J138" s="16"/>
      <c r="K138" s="5"/>
      <c r="L138" s="5"/>
      <c r="M138" s="64"/>
      <c r="N138" s="65"/>
      <c r="O138" s="66"/>
      <c r="P138" s="17"/>
      <c r="Q138" s="50"/>
      <c r="R138" s="6"/>
      <c r="S138" s="58"/>
      <c r="T138" s="63" t="str">
        <f t="shared" ca="1" si="18"/>
        <v/>
      </c>
      <c r="U138" s="3" t="str">
        <f t="shared" ca="1" si="19"/>
        <v/>
      </c>
      <c r="V138" s="3" t="str">
        <f t="shared" ca="1" si="20"/>
        <v/>
      </c>
      <c r="W138" s="1" t="str">
        <f t="shared" ca="1" si="21"/>
        <v/>
      </c>
      <c r="X138" s="1" t="str">
        <f t="shared" ca="1" si="22"/>
        <v/>
      </c>
      <c r="Y138" s="3" t="str">
        <f t="shared" ca="1" si="23"/>
        <v/>
      </c>
    </row>
    <row r="139" spans="1:25" s="3" customFormat="1" x14ac:dyDescent="0.4">
      <c r="A139" s="34" t="str">
        <f t="shared" si="24"/>
        <v/>
      </c>
      <c r="B139" s="15"/>
      <c r="C139" s="16"/>
      <c r="D139" s="5"/>
      <c r="E139" s="5"/>
      <c r="F139" s="79"/>
      <c r="G139" s="80"/>
      <c r="H139" s="80"/>
      <c r="I139" s="81"/>
      <c r="J139" s="16"/>
      <c r="K139" s="5"/>
      <c r="L139" s="5"/>
      <c r="M139" s="64"/>
      <c r="N139" s="65"/>
      <c r="O139" s="66"/>
      <c r="P139" s="17"/>
      <c r="Q139" s="50"/>
      <c r="R139" s="6"/>
      <c r="S139" s="58"/>
      <c r="T139" s="63" t="str">
        <f t="shared" ca="1" si="18"/>
        <v/>
      </c>
      <c r="U139" s="3" t="str">
        <f t="shared" ca="1" si="19"/>
        <v/>
      </c>
      <c r="V139" s="3" t="str">
        <f t="shared" ca="1" si="20"/>
        <v/>
      </c>
      <c r="W139" s="1" t="str">
        <f t="shared" ca="1" si="21"/>
        <v/>
      </c>
      <c r="X139" s="1" t="str">
        <f t="shared" ca="1" si="22"/>
        <v/>
      </c>
      <c r="Y139" s="3" t="str">
        <f t="shared" ca="1" si="23"/>
        <v/>
      </c>
    </row>
    <row r="140" spans="1:25" s="3" customFormat="1" x14ac:dyDescent="0.4">
      <c r="A140" s="34" t="str">
        <f t="shared" si="24"/>
        <v/>
      </c>
      <c r="B140" s="15"/>
      <c r="C140" s="16"/>
      <c r="D140" s="5"/>
      <c r="E140" s="5"/>
      <c r="F140" s="79"/>
      <c r="G140" s="80"/>
      <c r="H140" s="80"/>
      <c r="I140" s="81"/>
      <c r="J140" s="16"/>
      <c r="K140" s="5"/>
      <c r="L140" s="5"/>
      <c r="M140" s="64"/>
      <c r="N140" s="65"/>
      <c r="O140" s="66"/>
      <c r="P140" s="17"/>
      <c r="Q140" s="50"/>
      <c r="R140" s="6"/>
      <c r="S140" s="58"/>
      <c r="T140" s="63" t="str">
        <f t="shared" ca="1" si="18"/>
        <v/>
      </c>
      <c r="U140" s="3" t="str">
        <f t="shared" ca="1" si="19"/>
        <v/>
      </c>
      <c r="V140" s="3" t="str">
        <f t="shared" ca="1" si="20"/>
        <v/>
      </c>
      <c r="W140" s="1" t="str">
        <f t="shared" ca="1" si="21"/>
        <v/>
      </c>
      <c r="X140" s="1" t="str">
        <f t="shared" ca="1" si="22"/>
        <v/>
      </c>
      <c r="Y140" s="3" t="str">
        <f t="shared" ca="1" si="23"/>
        <v/>
      </c>
    </row>
    <row r="141" spans="1:25" s="3" customFormat="1" x14ac:dyDescent="0.4">
      <c r="A141" s="34" t="str">
        <f t="shared" si="24"/>
        <v/>
      </c>
      <c r="B141" s="15"/>
      <c r="C141" s="16"/>
      <c r="D141" s="5"/>
      <c r="E141" s="5"/>
      <c r="F141" s="79"/>
      <c r="G141" s="80"/>
      <c r="H141" s="80"/>
      <c r="I141" s="81"/>
      <c r="J141" s="16"/>
      <c r="K141" s="5"/>
      <c r="L141" s="5"/>
      <c r="M141" s="64"/>
      <c r="N141" s="65"/>
      <c r="O141" s="66"/>
      <c r="P141" s="17"/>
      <c r="Q141" s="50"/>
      <c r="R141" s="6"/>
      <c r="S141" s="58"/>
      <c r="T141" s="63" t="str">
        <f t="shared" ca="1" si="18"/>
        <v/>
      </c>
      <c r="U141" s="3" t="str">
        <f t="shared" ca="1" si="19"/>
        <v/>
      </c>
      <c r="V141" s="3" t="str">
        <f t="shared" ca="1" si="20"/>
        <v/>
      </c>
      <c r="W141" s="1" t="str">
        <f t="shared" ca="1" si="21"/>
        <v/>
      </c>
      <c r="X141" s="1" t="str">
        <f t="shared" ca="1" si="22"/>
        <v/>
      </c>
      <c r="Y141" s="3" t="str">
        <f t="shared" ca="1" si="23"/>
        <v/>
      </c>
    </row>
    <row r="142" spans="1:25" s="3" customFormat="1" x14ac:dyDescent="0.4">
      <c r="A142" s="34" t="str">
        <f t="shared" si="24"/>
        <v/>
      </c>
      <c r="B142" s="15"/>
      <c r="C142" s="16"/>
      <c r="D142" s="5"/>
      <c r="E142" s="5"/>
      <c r="F142" s="79"/>
      <c r="G142" s="80"/>
      <c r="H142" s="80"/>
      <c r="I142" s="81"/>
      <c r="J142" s="16"/>
      <c r="K142" s="5"/>
      <c r="L142" s="5"/>
      <c r="M142" s="64"/>
      <c r="N142" s="65"/>
      <c r="O142" s="66"/>
      <c r="P142" s="17"/>
      <c r="Q142" s="50"/>
      <c r="R142" s="6"/>
      <c r="S142" s="58"/>
      <c r="T142" s="63" t="str">
        <f t="shared" ca="1" si="18"/>
        <v/>
      </c>
      <c r="U142" s="3" t="str">
        <f t="shared" ca="1" si="19"/>
        <v/>
      </c>
      <c r="V142" s="3" t="str">
        <f t="shared" ca="1" si="20"/>
        <v/>
      </c>
      <c r="W142" s="1" t="str">
        <f t="shared" ca="1" si="21"/>
        <v/>
      </c>
      <c r="X142" s="1" t="str">
        <f t="shared" ca="1" si="22"/>
        <v/>
      </c>
      <c r="Y142" s="3" t="str">
        <f t="shared" ca="1" si="23"/>
        <v/>
      </c>
    </row>
    <row r="143" spans="1:25" s="3" customFormat="1" x14ac:dyDescent="0.4">
      <c r="A143" s="34" t="str">
        <f t="shared" si="24"/>
        <v/>
      </c>
      <c r="B143" s="15"/>
      <c r="C143" s="16"/>
      <c r="D143" s="5"/>
      <c r="E143" s="5"/>
      <c r="F143" s="79"/>
      <c r="G143" s="80"/>
      <c r="H143" s="80"/>
      <c r="I143" s="81"/>
      <c r="J143" s="16"/>
      <c r="K143" s="5"/>
      <c r="L143" s="5"/>
      <c r="M143" s="64"/>
      <c r="N143" s="65"/>
      <c r="O143" s="66"/>
      <c r="P143" s="17"/>
      <c r="Q143" s="50"/>
      <c r="R143" s="6"/>
      <c r="S143" s="58"/>
      <c r="T143" s="63" t="str">
        <f t="shared" ca="1" si="18"/>
        <v/>
      </c>
      <c r="U143" s="3" t="str">
        <f t="shared" ca="1" si="19"/>
        <v/>
      </c>
      <c r="V143" s="3" t="str">
        <f t="shared" ca="1" si="20"/>
        <v/>
      </c>
      <c r="W143" s="1" t="str">
        <f t="shared" ca="1" si="21"/>
        <v/>
      </c>
      <c r="X143" s="1" t="str">
        <f t="shared" ca="1" si="22"/>
        <v/>
      </c>
      <c r="Y143" s="3" t="str">
        <f t="shared" ca="1" si="23"/>
        <v/>
      </c>
    </row>
    <row r="144" spans="1:25" s="3" customFormat="1" x14ac:dyDescent="0.4">
      <c r="A144" s="34" t="str">
        <f t="shared" si="24"/>
        <v/>
      </c>
      <c r="B144" s="15"/>
      <c r="C144" s="16"/>
      <c r="D144" s="5"/>
      <c r="E144" s="5"/>
      <c r="F144" s="79"/>
      <c r="G144" s="80"/>
      <c r="H144" s="80"/>
      <c r="I144" s="81"/>
      <c r="J144" s="16"/>
      <c r="K144" s="5"/>
      <c r="L144" s="5"/>
      <c r="M144" s="64"/>
      <c r="N144" s="65"/>
      <c r="O144" s="66"/>
      <c r="P144" s="17"/>
      <c r="Q144" s="50"/>
      <c r="R144" s="6"/>
      <c r="S144" s="58"/>
      <c r="T144" s="63" t="str">
        <f t="shared" ca="1" si="18"/>
        <v/>
      </c>
      <c r="U144" s="3" t="str">
        <f t="shared" ca="1" si="19"/>
        <v/>
      </c>
      <c r="V144" s="3" t="str">
        <f t="shared" ca="1" si="20"/>
        <v/>
      </c>
      <c r="W144" s="1" t="str">
        <f t="shared" ca="1" si="21"/>
        <v/>
      </c>
      <c r="X144" s="1" t="str">
        <f t="shared" ca="1" si="22"/>
        <v/>
      </c>
      <c r="Y144" s="3" t="str">
        <f t="shared" ca="1" si="23"/>
        <v/>
      </c>
    </row>
    <row r="145" spans="1:25" s="3" customFormat="1" x14ac:dyDescent="0.4">
      <c r="A145" s="34" t="str">
        <f t="shared" si="24"/>
        <v/>
      </c>
      <c r="B145" s="15"/>
      <c r="C145" s="16"/>
      <c r="D145" s="5"/>
      <c r="E145" s="5"/>
      <c r="F145" s="79"/>
      <c r="G145" s="80"/>
      <c r="H145" s="80"/>
      <c r="I145" s="81"/>
      <c r="J145" s="16"/>
      <c r="K145" s="5"/>
      <c r="L145" s="5"/>
      <c r="M145" s="64"/>
      <c r="N145" s="65"/>
      <c r="O145" s="66"/>
      <c r="P145" s="17"/>
      <c r="Q145" s="50"/>
      <c r="R145" s="6"/>
      <c r="S145" s="58"/>
      <c r="T145" s="63" t="str">
        <f t="shared" ca="1" si="18"/>
        <v/>
      </c>
      <c r="U145" s="3" t="str">
        <f t="shared" ca="1" si="19"/>
        <v/>
      </c>
      <c r="V145" s="3" t="str">
        <f t="shared" ca="1" si="20"/>
        <v/>
      </c>
      <c r="W145" s="1" t="str">
        <f t="shared" ca="1" si="21"/>
        <v/>
      </c>
      <c r="X145" s="1" t="str">
        <f t="shared" ca="1" si="22"/>
        <v/>
      </c>
      <c r="Y145" s="3" t="str">
        <f t="shared" ca="1" si="23"/>
        <v/>
      </c>
    </row>
    <row r="146" spans="1:25" s="3" customFormat="1" x14ac:dyDescent="0.4">
      <c r="A146" s="34" t="str">
        <f t="shared" si="24"/>
        <v/>
      </c>
      <c r="B146" s="15"/>
      <c r="C146" s="16"/>
      <c r="D146" s="5"/>
      <c r="E146" s="5"/>
      <c r="F146" s="79"/>
      <c r="G146" s="80"/>
      <c r="H146" s="80"/>
      <c r="I146" s="81"/>
      <c r="J146" s="16"/>
      <c r="K146" s="5"/>
      <c r="L146" s="5"/>
      <c r="M146" s="64"/>
      <c r="N146" s="65"/>
      <c r="O146" s="66"/>
      <c r="P146" s="17"/>
      <c r="Q146" s="50"/>
      <c r="R146" s="6"/>
      <c r="S146" s="58"/>
      <c r="T146" s="63" t="str">
        <f t="shared" ca="1" si="18"/>
        <v/>
      </c>
      <c r="U146" s="3" t="str">
        <f t="shared" ca="1" si="19"/>
        <v/>
      </c>
      <c r="V146" s="3" t="str">
        <f t="shared" ca="1" si="20"/>
        <v/>
      </c>
      <c r="W146" s="1" t="str">
        <f t="shared" ca="1" si="21"/>
        <v/>
      </c>
      <c r="X146" s="1" t="str">
        <f t="shared" ca="1" si="22"/>
        <v/>
      </c>
      <c r="Y146" s="3" t="str">
        <f t="shared" ca="1" si="23"/>
        <v/>
      </c>
    </row>
    <row r="147" spans="1:25" s="3" customFormat="1" x14ac:dyDescent="0.4">
      <c r="A147" s="34" t="str">
        <f t="shared" si="24"/>
        <v/>
      </c>
      <c r="B147" s="15"/>
      <c r="C147" s="16"/>
      <c r="D147" s="5"/>
      <c r="E147" s="5"/>
      <c r="F147" s="79"/>
      <c r="G147" s="80"/>
      <c r="H147" s="80"/>
      <c r="I147" s="81"/>
      <c r="J147" s="16"/>
      <c r="K147" s="5"/>
      <c r="L147" s="5"/>
      <c r="M147" s="64"/>
      <c r="N147" s="65"/>
      <c r="O147" s="66"/>
      <c r="P147" s="17"/>
      <c r="Q147" s="50"/>
      <c r="R147" s="6"/>
      <c r="S147" s="58"/>
      <c r="T147" s="63" t="str">
        <f t="shared" ca="1" si="18"/>
        <v/>
      </c>
      <c r="U147" s="3" t="str">
        <f t="shared" ca="1" si="19"/>
        <v/>
      </c>
      <c r="V147" s="3" t="str">
        <f t="shared" ca="1" si="20"/>
        <v/>
      </c>
      <c r="W147" s="1" t="str">
        <f t="shared" ca="1" si="21"/>
        <v/>
      </c>
      <c r="X147" s="1" t="str">
        <f t="shared" ca="1" si="22"/>
        <v/>
      </c>
      <c r="Y147" s="3" t="str">
        <f t="shared" ca="1" si="23"/>
        <v/>
      </c>
    </row>
    <row r="148" spans="1:25" s="3" customFormat="1" x14ac:dyDescent="0.4">
      <c r="A148" s="34" t="str">
        <f t="shared" si="24"/>
        <v/>
      </c>
      <c r="B148" s="15"/>
      <c r="C148" s="16"/>
      <c r="D148" s="5"/>
      <c r="E148" s="5"/>
      <c r="F148" s="79"/>
      <c r="G148" s="80"/>
      <c r="H148" s="80"/>
      <c r="I148" s="81"/>
      <c r="J148" s="16"/>
      <c r="K148" s="5"/>
      <c r="L148" s="5"/>
      <c r="M148" s="64"/>
      <c r="N148" s="65"/>
      <c r="O148" s="66"/>
      <c r="P148" s="17"/>
      <c r="Q148" s="50"/>
      <c r="R148" s="6"/>
      <c r="S148" s="58"/>
      <c r="T148" s="63" t="str">
        <f t="shared" ca="1" si="18"/>
        <v/>
      </c>
      <c r="U148" s="3" t="str">
        <f t="shared" ca="1" si="19"/>
        <v/>
      </c>
      <c r="V148" s="3" t="str">
        <f t="shared" ca="1" si="20"/>
        <v/>
      </c>
      <c r="W148" s="1" t="str">
        <f t="shared" ca="1" si="21"/>
        <v/>
      </c>
      <c r="X148" s="1" t="str">
        <f t="shared" ca="1" si="22"/>
        <v/>
      </c>
      <c r="Y148" s="3" t="str">
        <f t="shared" ca="1" si="23"/>
        <v/>
      </c>
    </row>
    <row r="149" spans="1:25" s="3" customFormat="1" x14ac:dyDescent="0.4">
      <c r="A149" s="34" t="str">
        <f t="shared" si="24"/>
        <v/>
      </c>
      <c r="B149" s="15"/>
      <c r="C149" s="16"/>
      <c r="D149" s="5"/>
      <c r="E149" s="5"/>
      <c r="F149" s="79"/>
      <c r="G149" s="80"/>
      <c r="H149" s="80"/>
      <c r="I149" s="81"/>
      <c r="J149" s="16"/>
      <c r="K149" s="5"/>
      <c r="L149" s="5"/>
      <c r="M149" s="64"/>
      <c r="N149" s="65"/>
      <c r="O149" s="66"/>
      <c r="P149" s="17"/>
      <c r="Q149" s="50"/>
      <c r="R149" s="6"/>
      <c r="S149" s="58"/>
      <c r="T149" s="63" t="str">
        <f t="shared" ca="1" si="18"/>
        <v/>
      </c>
      <c r="U149" s="3" t="str">
        <f t="shared" ca="1" si="19"/>
        <v/>
      </c>
      <c r="V149" s="3" t="str">
        <f t="shared" ca="1" si="20"/>
        <v/>
      </c>
      <c r="W149" s="1" t="str">
        <f t="shared" ca="1" si="21"/>
        <v/>
      </c>
      <c r="X149" s="1" t="str">
        <f t="shared" ca="1" si="22"/>
        <v/>
      </c>
      <c r="Y149" s="3" t="str">
        <f t="shared" ca="1" si="23"/>
        <v/>
      </c>
    </row>
    <row r="150" spans="1:25" s="3" customFormat="1" x14ac:dyDescent="0.4">
      <c r="A150" s="34" t="str">
        <f t="shared" si="24"/>
        <v/>
      </c>
      <c r="B150" s="15"/>
      <c r="C150" s="16"/>
      <c r="D150" s="5"/>
      <c r="E150" s="5"/>
      <c r="F150" s="79"/>
      <c r="G150" s="80"/>
      <c r="H150" s="80"/>
      <c r="I150" s="81"/>
      <c r="J150" s="16"/>
      <c r="K150" s="5"/>
      <c r="L150" s="5"/>
      <c r="M150" s="64"/>
      <c r="N150" s="65"/>
      <c r="O150" s="66"/>
      <c r="P150" s="17"/>
      <c r="Q150" s="50"/>
      <c r="R150" s="6"/>
      <c r="S150" s="58"/>
      <c r="T150" s="63" t="str">
        <f t="shared" ca="1" si="18"/>
        <v/>
      </c>
      <c r="U150" s="3" t="str">
        <f t="shared" ca="1" si="19"/>
        <v/>
      </c>
      <c r="V150" s="3" t="str">
        <f t="shared" ca="1" si="20"/>
        <v/>
      </c>
      <c r="W150" s="1" t="str">
        <f t="shared" ca="1" si="21"/>
        <v/>
      </c>
      <c r="X150" s="1" t="str">
        <f t="shared" ca="1" si="22"/>
        <v/>
      </c>
      <c r="Y150" s="3" t="str">
        <f t="shared" ca="1" si="23"/>
        <v/>
      </c>
    </row>
    <row r="151" spans="1:25" s="3" customFormat="1" x14ac:dyDescent="0.4">
      <c r="A151" s="34" t="str">
        <f t="shared" si="24"/>
        <v/>
      </c>
      <c r="B151" s="15"/>
      <c r="C151" s="16"/>
      <c r="D151" s="5"/>
      <c r="E151" s="5"/>
      <c r="F151" s="79"/>
      <c r="G151" s="80"/>
      <c r="H151" s="80"/>
      <c r="I151" s="81"/>
      <c r="J151" s="16"/>
      <c r="K151" s="5"/>
      <c r="L151" s="5"/>
      <c r="M151" s="64"/>
      <c r="N151" s="65"/>
      <c r="O151" s="66"/>
      <c r="P151" s="17"/>
      <c r="Q151" s="50"/>
      <c r="R151" s="6"/>
      <c r="S151" s="58"/>
      <c r="T151" s="63" t="str">
        <f t="shared" ca="1" si="18"/>
        <v/>
      </c>
      <c r="U151" s="3" t="str">
        <f t="shared" ca="1" si="19"/>
        <v/>
      </c>
      <c r="V151" s="3" t="str">
        <f t="shared" ca="1" si="20"/>
        <v/>
      </c>
      <c r="W151" s="1" t="str">
        <f t="shared" ca="1" si="21"/>
        <v/>
      </c>
      <c r="X151" s="1" t="str">
        <f t="shared" ca="1" si="22"/>
        <v/>
      </c>
      <c r="Y151" s="3" t="str">
        <f t="shared" ca="1" si="23"/>
        <v/>
      </c>
    </row>
    <row r="152" spans="1:25" s="3" customFormat="1" x14ac:dyDescent="0.4">
      <c r="A152" s="34" t="str">
        <f t="shared" si="24"/>
        <v/>
      </c>
      <c r="B152" s="15"/>
      <c r="C152" s="16"/>
      <c r="D152" s="5"/>
      <c r="E152" s="5"/>
      <c r="F152" s="79"/>
      <c r="G152" s="80"/>
      <c r="H152" s="80"/>
      <c r="I152" s="81"/>
      <c r="J152" s="16"/>
      <c r="K152" s="5"/>
      <c r="L152" s="5"/>
      <c r="M152" s="64"/>
      <c r="N152" s="65"/>
      <c r="O152" s="66"/>
      <c r="P152" s="17"/>
      <c r="Q152" s="50"/>
      <c r="R152" s="6"/>
      <c r="S152" s="58"/>
      <c r="T152" s="63" t="str">
        <f t="shared" ca="1" si="18"/>
        <v/>
      </c>
      <c r="U152" s="3" t="str">
        <f t="shared" ca="1" si="19"/>
        <v/>
      </c>
      <c r="V152" s="3" t="str">
        <f t="shared" ca="1" si="20"/>
        <v/>
      </c>
      <c r="W152" s="1" t="str">
        <f t="shared" ca="1" si="21"/>
        <v/>
      </c>
      <c r="X152" s="1" t="str">
        <f t="shared" ca="1" si="22"/>
        <v/>
      </c>
      <c r="Y152" s="3" t="str">
        <f t="shared" ca="1" si="23"/>
        <v/>
      </c>
    </row>
    <row r="153" spans="1:25" s="3" customFormat="1" x14ac:dyDescent="0.4">
      <c r="A153" s="34" t="str">
        <f t="shared" si="24"/>
        <v/>
      </c>
      <c r="B153" s="15"/>
      <c r="C153" s="16"/>
      <c r="D153" s="5"/>
      <c r="E153" s="5"/>
      <c r="F153" s="79"/>
      <c r="G153" s="80"/>
      <c r="H153" s="80"/>
      <c r="I153" s="81"/>
      <c r="J153" s="16"/>
      <c r="K153" s="5"/>
      <c r="L153" s="5"/>
      <c r="M153" s="64"/>
      <c r="N153" s="65"/>
      <c r="O153" s="66"/>
      <c r="P153" s="17"/>
      <c r="Q153" s="50"/>
      <c r="R153" s="6"/>
      <c r="S153" s="58"/>
      <c r="T153" s="63" t="str">
        <f t="shared" ca="1" si="18"/>
        <v/>
      </c>
      <c r="U153" s="3" t="str">
        <f t="shared" ca="1" si="19"/>
        <v/>
      </c>
      <c r="V153" s="3" t="str">
        <f t="shared" ca="1" si="20"/>
        <v/>
      </c>
      <c r="W153" s="1" t="str">
        <f t="shared" ca="1" si="21"/>
        <v/>
      </c>
      <c r="X153" s="1" t="str">
        <f t="shared" ca="1" si="22"/>
        <v/>
      </c>
      <c r="Y153" s="3" t="str">
        <f t="shared" ca="1" si="23"/>
        <v/>
      </c>
    </row>
    <row r="154" spans="1:25" s="3" customFormat="1" x14ac:dyDescent="0.4">
      <c r="A154" s="34" t="str">
        <f t="shared" si="24"/>
        <v/>
      </c>
      <c r="B154" s="15"/>
      <c r="C154" s="16"/>
      <c r="D154" s="5"/>
      <c r="E154" s="5"/>
      <c r="F154" s="79"/>
      <c r="G154" s="80"/>
      <c r="H154" s="80"/>
      <c r="I154" s="81"/>
      <c r="J154" s="16"/>
      <c r="K154" s="5"/>
      <c r="L154" s="5"/>
      <c r="M154" s="64"/>
      <c r="N154" s="65"/>
      <c r="O154" s="66"/>
      <c r="P154" s="17"/>
      <c r="Q154" s="50"/>
      <c r="R154" s="6"/>
      <c r="S154" s="58"/>
      <c r="T154" s="63" t="str">
        <f t="shared" ca="1" si="18"/>
        <v/>
      </c>
      <c r="U154" s="3" t="str">
        <f t="shared" ca="1" si="19"/>
        <v/>
      </c>
      <c r="V154" s="3" t="str">
        <f t="shared" ca="1" si="20"/>
        <v/>
      </c>
      <c r="W154" s="1" t="str">
        <f t="shared" ca="1" si="21"/>
        <v/>
      </c>
      <c r="X154" s="1" t="str">
        <f t="shared" ca="1" si="22"/>
        <v/>
      </c>
      <c r="Y154" s="3" t="str">
        <f t="shared" ca="1" si="23"/>
        <v/>
      </c>
    </row>
    <row r="155" spans="1:25" s="3" customFormat="1" x14ac:dyDescent="0.4">
      <c r="A155" s="34" t="str">
        <f t="shared" si="24"/>
        <v/>
      </c>
      <c r="B155" s="15"/>
      <c r="C155" s="16"/>
      <c r="D155" s="5"/>
      <c r="E155" s="5"/>
      <c r="F155" s="79"/>
      <c r="G155" s="80"/>
      <c r="H155" s="80"/>
      <c r="I155" s="81"/>
      <c r="J155" s="16"/>
      <c r="K155" s="5"/>
      <c r="L155" s="5"/>
      <c r="M155" s="64"/>
      <c r="N155" s="65"/>
      <c r="O155" s="66"/>
      <c r="P155" s="17"/>
      <c r="Q155" s="50"/>
      <c r="R155" s="6"/>
      <c r="S155" s="58"/>
      <c r="T155" s="63" t="str">
        <f t="shared" ca="1" si="18"/>
        <v/>
      </c>
      <c r="U155" s="3" t="str">
        <f t="shared" ca="1" si="19"/>
        <v/>
      </c>
      <c r="V155" s="3" t="str">
        <f t="shared" ca="1" si="20"/>
        <v/>
      </c>
      <c r="W155" s="1" t="str">
        <f t="shared" ca="1" si="21"/>
        <v/>
      </c>
      <c r="X155" s="1" t="str">
        <f t="shared" ca="1" si="22"/>
        <v/>
      </c>
      <c r="Y155" s="3" t="str">
        <f t="shared" ca="1" si="23"/>
        <v/>
      </c>
    </row>
    <row r="156" spans="1:25" s="3" customFormat="1" x14ac:dyDescent="0.4">
      <c r="A156" s="34" t="str">
        <f t="shared" si="24"/>
        <v/>
      </c>
      <c r="B156" s="15"/>
      <c r="C156" s="16"/>
      <c r="D156" s="5"/>
      <c r="E156" s="5"/>
      <c r="F156" s="79"/>
      <c r="G156" s="80"/>
      <c r="H156" s="80"/>
      <c r="I156" s="81"/>
      <c r="J156" s="16"/>
      <c r="K156" s="5"/>
      <c r="L156" s="5"/>
      <c r="M156" s="64"/>
      <c r="N156" s="65"/>
      <c r="O156" s="66"/>
      <c r="P156" s="17"/>
      <c r="Q156" s="50"/>
      <c r="R156" s="6"/>
      <c r="S156" s="58"/>
      <c r="T156" s="63" t="str">
        <f t="shared" ca="1" si="18"/>
        <v/>
      </c>
      <c r="U156" s="3" t="str">
        <f t="shared" ca="1" si="19"/>
        <v/>
      </c>
      <c r="V156" s="3" t="str">
        <f t="shared" ca="1" si="20"/>
        <v/>
      </c>
      <c r="W156" s="1" t="str">
        <f t="shared" ca="1" si="21"/>
        <v/>
      </c>
      <c r="X156" s="1" t="str">
        <f t="shared" ca="1" si="22"/>
        <v/>
      </c>
      <c r="Y156" s="3" t="str">
        <f t="shared" ca="1" si="23"/>
        <v/>
      </c>
    </row>
    <row r="157" spans="1:25" s="3" customFormat="1" x14ac:dyDescent="0.4">
      <c r="A157" s="34" t="str">
        <f t="shared" si="24"/>
        <v/>
      </c>
      <c r="B157" s="15"/>
      <c r="C157" s="16"/>
      <c r="D157" s="5"/>
      <c r="E157" s="5"/>
      <c r="F157" s="79"/>
      <c r="G157" s="80"/>
      <c r="H157" s="80"/>
      <c r="I157" s="81"/>
      <c r="J157" s="16"/>
      <c r="K157" s="5"/>
      <c r="L157" s="5"/>
      <c r="M157" s="64"/>
      <c r="N157" s="65"/>
      <c r="O157" s="66"/>
      <c r="P157" s="17"/>
      <c r="Q157" s="50"/>
      <c r="R157" s="6"/>
      <c r="S157" s="58"/>
      <c r="T157" s="63" t="str">
        <f t="shared" ca="1" si="18"/>
        <v/>
      </c>
      <c r="U157" s="3" t="str">
        <f t="shared" ca="1" si="19"/>
        <v/>
      </c>
      <c r="V157" s="3" t="str">
        <f t="shared" ca="1" si="20"/>
        <v/>
      </c>
      <c r="W157" s="1" t="str">
        <f t="shared" ca="1" si="21"/>
        <v/>
      </c>
      <c r="X157" s="1" t="str">
        <f t="shared" ca="1" si="22"/>
        <v/>
      </c>
      <c r="Y157" s="3" t="str">
        <f t="shared" ca="1" si="23"/>
        <v/>
      </c>
    </row>
    <row r="158" spans="1:25" s="3" customFormat="1" x14ac:dyDescent="0.4">
      <c r="A158" s="34" t="str">
        <f t="shared" si="24"/>
        <v/>
      </c>
      <c r="B158" s="15"/>
      <c r="C158" s="16"/>
      <c r="D158" s="5"/>
      <c r="E158" s="5"/>
      <c r="F158" s="79"/>
      <c r="G158" s="80"/>
      <c r="H158" s="80"/>
      <c r="I158" s="81"/>
      <c r="J158" s="16"/>
      <c r="K158" s="5"/>
      <c r="L158" s="5"/>
      <c r="M158" s="64"/>
      <c r="N158" s="65"/>
      <c r="O158" s="66"/>
      <c r="P158" s="17"/>
      <c r="Q158" s="50"/>
      <c r="R158" s="6"/>
      <c r="S158" s="58"/>
      <c r="T158" s="63" t="str">
        <f t="shared" ca="1" si="18"/>
        <v/>
      </c>
      <c r="U158" s="3" t="str">
        <f t="shared" ca="1" si="19"/>
        <v/>
      </c>
      <c r="V158" s="3" t="str">
        <f t="shared" ca="1" si="20"/>
        <v/>
      </c>
      <c r="W158" s="1" t="str">
        <f t="shared" ca="1" si="21"/>
        <v/>
      </c>
      <c r="X158" s="1" t="str">
        <f t="shared" ca="1" si="22"/>
        <v/>
      </c>
      <c r="Y158" s="3" t="str">
        <f t="shared" ca="1" si="23"/>
        <v/>
      </c>
    </row>
    <row r="159" spans="1:25" s="3" customFormat="1" x14ac:dyDescent="0.4">
      <c r="A159" s="34" t="str">
        <f t="shared" si="24"/>
        <v/>
      </c>
      <c r="B159" s="15"/>
      <c r="C159" s="16"/>
      <c r="D159" s="5"/>
      <c r="E159" s="5"/>
      <c r="F159" s="79"/>
      <c r="G159" s="80"/>
      <c r="H159" s="80"/>
      <c r="I159" s="81"/>
      <c r="J159" s="16"/>
      <c r="K159" s="5"/>
      <c r="L159" s="5"/>
      <c r="M159" s="64"/>
      <c r="N159" s="65"/>
      <c r="O159" s="66"/>
      <c r="P159" s="17"/>
      <c r="Q159" s="50"/>
      <c r="R159" s="6"/>
      <c r="S159" s="58"/>
      <c r="T159" s="63" t="str">
        <f t="shared" ca="1" si="18"/>
        <v/>
      </c>
      <c r="U159" s="3" t="str">
        <f t="shared" ca="1" si="19"/>
        <v/>
      </c>
      <c r="V159" s="3" t="str">
        <f t="shared" ca="1" si="20"/>
        <v/>
      </c>
      <c r="W159" s="1" t="str">
        <f t="shared" ca="1" si="21"/>
        <v/>
      </c>
      <c r="X159" s="1" t="str">
        <f t="shared" ca="1" si="22"/>
        <v/>
      </c>
      <c r="Y159" s="3" t="str">
        <f t="shared" ca="1" si="23"/>
        <v/>
      </c>
    </row>
    <row r="160" spans="1:25" s="3" customFormat="1" x14ac:dyDescent="0.4">
      <c r="A160" s="34" t="str">
        <f t="shared" si="24"/>
        <v/>
      </c>
      <c r="B160" s="15"/>
      <c r="C160" s="16"/>
      <c r="D160" s="5"/>
      <c r="E160" s="5"/>
      <c r="F160" s="79"/>
      <c r="G160" s="80"/>
      <c r="H160" s="80"/>
      <c r="I160" s="81"/>
      <c r="J160" s="16"/>
      <c r="K160" s="5"/>
      <c r="L160" s="5"/>
      <c r="M160" s="64"/>
      <c r="N160" s="65"/>
      <c r="O160" s="66"/>
      <c r="P160" s="17"/>
      <c r="Q160" s="50"/>
      <c r="R160" s="6"/>
      <c r="S160" s="58"/>
      <c r="T160" s="63" t="str">
        <f t="shared" ca="1" si="18"/>
        <v/>
      </c>
      <c r="U160" s="3" t="str">
        <f t="shared" ca="1" si="19"/>
        <v/>
      </c>
      <c r="V160" s="3" t="str">
        <f t="shared" ca="1" si="20"/>
        <v/>
      </c>
      <c r="W160" s="1" t="str">
        <f t="shared" ca="1" si="21"/>
        <v/>
      </c>
      <c r="X160" s="1" t="str">
        <f t="shared" ca="1" si="22"/>
        <v/>
      </c>
      <c r="Y160" s="3" t="str">
        <f t="shared" ca="1" si="23"/>
        <v/>
      </c>
    </row>
    <row r="161" spans="1:25" s="3" customFormat="1" x14ac:dyDescent="0.4">
      <c r="A161" s="34" t="str">
        <f t="shared" si="24"/>
        <v/>
      </c>
      <c r="B161" s="15"/>
      <c r="C161" s="16"/>
      <c r="D161" s="5"/>
      <c r="E161" s="5"/>
      <c r="F161" s="79"/>
      <c r="G161" s="80"/>
      <c r="H161" s="80"/>
      <c r="I161" s="81"/>
      <c r="J161" s="16"/>
      <c r="K161" s="5"/>
      <c r="L161" s="5"/>
      <c r="M161" s="64"/>
      <c r="N161" s="65"/>
      <c r="O161" s="66"/>
      <c r="P161" s="17"/>
      <c r="Q161" s="50"/>
      <c r="R161" s="6"/>
      <c r="S161" s="58"/>
      <c r="T161" s="63" t="str">
        <f t="shared" ca="1" si="18"/>
        <v/>
      </c>
      <c r="U161" s="3" t="str">
        <f t="shared" ca="1" si="19"/>
        <v/>
      </c>
      <c r="V161" s="3" t="str">
        <f t="shared" ca="1" si="20"/>
        <v/>
      </c>
      <c r="W161" s="1" t="str">
        <f t="shared" ca="1" si="21"/>
        <v/>
      </c>
      <c r="X161" s="1" t="str">
        <f t="shared" ca="1" si="22"/>
        <v/>
      </c>
      <c r="Y161" s="3" t="str">
        <f t="shared" ca="1" si="23"/>
        <v/>
      </c>
    </row>
    <row r="162" spans="1:25" s="3" customFormat="1" x14ac:dyDescent="0.4">
      <c r="A162" s="34" t="str">
        <f t="shared" si="24"/>
        <v/>
      </c>
      <c r="B162" s="15"/>
      <c r="C162" s="16"/>
      <c r="D162" s="5"/>
      <c r="E162" s="5"/>
      <c r="F162" s="79"/>
      <c r="G162" s="80"/>
      <c r="H162" s="80"/>
      <c r="I162" s="81"/>
      <c r="J162" s="16"/>
      <c r="K162" s="5"/>
      <c r="L162" s="5"/>
      <c r="M162" s="64"/>
      <c r="N162" s="65"/>
      <c r="O162" s="66"/>
      <c r="P162" s="17"/>
      <c r="Q162" s="50"/>
      <c r="R162" s="6"/>
      <c r="S162" s="58"/>
      <c r="T162" s="63" t="str">
        <f t="shared" ca="1" si="18"/>
        <v/>
      </c>
      <c r="U162" s="3" t="str">
        <f t="shared" ca="1" si="19"/>
        <v/>
      </c>
      <c r="V162" s="3" t="str">
        <f t="shared" ca="1" si="20"/>
        <v/>
      </c>
      <c r="W162" s="1" t="str">
        <f t="shared" ca="1" si="21"/>
        <v/>
      </c>
      <c r="X162" s="1" t="str">
        <f t="shared" ca="1" si="22"/>
        <v/>
      </c>
      <c r="Y162" s="3" t="str">
        <f t="shared" ca="1" si="23"/>
        <v/>
      </c>
    </row>
    <row r="163" spans="1:25" s="3" customFormat="1" x14ac:dyDescent="0.4">
      <c r="A163" s="34" t="str">
        <f t="shared" si="24"/>
        <v/>
      </c>
      <c r="B163" s="15"/>
      <c r="C163" s="16"/>
      <c r="D163" s="5"/>
      <c r="E163" s="5"/>
      <c r="F163" s="79"/>
      <c r="G163" s="80"/>
      <c r="H163" s="80"/>
      <c r="I163" s="81"/>
      <c r="J163" s="16"/>
      <c r="K163" s="5"/>
      <c r="L163" s="5"/>
      <c r="M163" s="64"/>
      <c r="N163" s="65"/>
      <c r="O163" s="66"/>
      <c r="P163" s="17"/>
      <c r="Q163" s="50"/>
      <c r="R163" s="6"/>
      <c r="S163" s="58"/>
      <c r="T163" s="63" t="str">
        <f t="shared" ca="1" si="18"/>
        <v/>
      </c>
      <c r="U163" s="3" t="str">
        <f t="shared" ca="1" si="19"/>
        <v/>
      </c>
      <c r="V163" s="3" t="str">
        <f t="shared" ca="1" si="20"/>
        <v/>
      </c>
      <c r="W163" s="1" t="str">
        <f t="shared" ca="1" si="21"/>
        <v/>
      </c>
      <c r="X163" s="1" t="str">
        <f t="shared" ca="1" si="22"/>
        <v/>
      </c>
      <c r="Y163" s="3" t="str">
        <f t="shared" ca="1" si="23"/>
        <v/>
      </c>
    </row>
    <row r="164" spans="1:25" s="3" customFormat="1" x14ac:dyDescent="0.4">
      <c r="A164" s="34" t="str">
        <f t="shared" si="24"/>
        <v/>
      </c>
      <c r="B164" s="15"/>
      <c r="C164" s="16"/>
      <c r="D164" s="5"/>
      <c r="E164" s="5"/>
      <c r="F164" s="79"/>
      <c r="G164" s="80"/>
      <c r="H164" s="80"/>
      <c r="I164" s="81"/>
      <c r="J164" s="16"/>
      <c r="K164" s="5"/>
      <c r="L164" s="5"/>
      <c r="M164" s="64"/>
      <c r="N164" s="65"/>
      <c r="O164" s="66"/>
      <c r="P164" s="17"/>
      <c r="Q164" s="50"/>
      <c r="R164" s="6"/>
      <c r="S164" s="58"/>
      <c r="T164" s="63" t="str">
        <f t="shared" ca="1" si="18"/>
        <v/>
      </c>
      <c r="U164" s="3" t="str">
        <f t="shared" ca="1" si="19"/>
        <v/>
      </c>
      <c r="V164" s="3" t="str">
        <f t="shared" ca="1" si="20"/>
        <v/>
      </c>
      <c r="W164" s="1" t="str">
        <f t="shared" ca="1" si="21"/>
        <v/>
      </c>
      <c r="X164" s="1" t="str">
        <f t="shared" ca="1" si="22"/>
        <v/>
      </c>
      <c r="Y164" s="3" t="str">
        <f t="shared" ca="1" si="23"/>
        <v/>
      </c>
    </row>
    <row r="165" spans="1:25" s="3" customFormat="1" x14ac:dyDescent="0.4">
      <c r="A165" s="34" t="str">
        <f t="shared" si="24"/>
        <v/>
      </c>
      <c r="B165" s="15"/>
      <c r="C165" s="16"/>
      <c r="D165" s="5"/>
      <c r="E165" s="5"/>
      <c r="F165" s="79"/>
      <c r="G165" s="80"/>
      <c r="H165" s="80"/>
      <c r="I165" s="81"/>
      <c r="J165" s="16"/>
      <c r="K165" s="5"/>
      <c r="L165" s="5"/>
      <c r="M165" s="64"/>
      <c r="N165" s="65"/>
      <c r="O165" s="66"/>
      <c r="P165" s="17"/>
      <c r="Q165" s="50"/>
      <c r="R165" s="6"/>
      <c r="S165" s="58"/>
      <c r="T165" s="63" t="str">
        <f t="shared" ref="T165:T196" ca="1" si="25">IF(ISNA(VLOOKUP(E165,地址類別Mapping,2,FALSE)),"",VLOOKUP(E165,地址類別Mapping,2,FALSE))</f>
        <v/>
      </c>
      <c r="U165" s="3" t="str">
        <f t="shared" ca="1" si="19"/>
        <v/>
      </c>
      <c r="V165" s="3" t="str">
        <f t="shared" ca="1" si="20"/>
        <v/>
      </c>
      <c r="W165" s="1" t="str">
        <f t="shared" ca="1" si="21"/>
        <v/>
      </c>
      <c r="X165" s="1" t="str">
        <f t="shared" ca="1" si="22"/>
        <v/>
      </c>
      <c r="Y165" s="3" t="str">
        <f t="shared" ref="Y165:Y196" ca="1" si="26">IF(ISNA(VLOOKUP(B165,郵件種類MAPPING,2,FALSE)),"","203")</f>
        <v/>
      </c>
    </row>
    <row r="166" spans="1:25" s="3" customFormat="1" x14ac:dyDescent="0.4">
      <c r="A166" s="34" t="str">
        <f t="shared" si="24"/>
        <v/>
      </c>
      <c r="B166" s="15"/>
      <c r="C166" s="16"/>
      <c r="D166" s="5"/>
      <c r="E166" s="5"/>
      <c r="F166" s="79"/>
      <c r="G166" s="80"/>
      <c r="H166" s="80"/>
      <c r="I166" s="81"/>
      <c r="J166" s="16"/>
      <c r="K166" s="5"/>
      <c r="L166" s="5"/>
      <c r="M166" s="64"/>
      <c r="N166" s="65"/>
      <c r="O166" s="66"/>
      <c r="P166" s="17"/>
      <c r="Q166" s="50"/>
      <c r="R166" s="6"/>
      <c r="S166" s="58"/>
      <c r="T166" s="63" t="str">
        <f t="shared" ca="1" si="25"/>
        <v/>
      </c>
      <c r="U166" s="3" t="str">
        <f t="shared" ca="1" si="19"/>
        <v/>
      </c>
      <c r="V166" s="3" t="str">
        <f t="shared" ca="1" si="20"/>
        <v/>
      </c>
      <c r="W166" s="1" t="str">
        <f t="shared" ca="1" si="21"/>
        <v/>
      </c>
      <c r="X166" s="1" t="str">
        <f t="shared" ca="1" si="22"/>
        <v/>
      </c>
      <c r="Y166" s="3" t="str">
        <f t="shared" ca="1" si="26"/>
        <v/>
      </c>
    </row>
    <row r="167" spans="1:25" s="3" customFormat="1" x14ac:dyDescent="0.4">
      <c r="A167" s="34" t="str">
        <f t="shared" si="24"/>
        <v/>
      </c>
      <c r="B167" s="15"/>
      <c r="C167" s="16"/>
      <c r="D167" s="5"/>
      <c r="E167" s="5"/>
      <c r="F167" s="79"/>
      <c r="G167" s="80"/>
      <c r="H167" s="80"/>
      <c r="I167" s="81"/>
      <c r="J167" s="16"/>
      <c r="K167" s="5"/>
      <c r="L167" s="5"/>
      <c r="M167" s="64"/>
      <c r="N167" s="65"/>
      <c r="O167" s="66"/>
      <c r="P167" s="17"/>
      <c r="Q167" s="50"/>
      <c r="R167" s="6"/>
      <c r="S167" s="58"/>
      <c r="T167" s="63" t="str">
        <f t="shared" ca="1" si="25"/>
        <v/>
      </c>
      <c r="U167" s="3" t="str">
        <f t="shared" ca="1" si="19"/>
        <v/>
      </c>
      <c r="V167" s="3" t="str">
        <f t="shared" ca="1" si="20"/>
        <v/>
      </c>
      <c r="W167" s="1" t="str">
        <f t="shared" ca="1" si="21"/>
        <v/>
      </c>
      <c r="X167" s="1" t="str">
        <f t="shared" ca="1" si="22"/>
        <v/>
      </c>
      <c r="Y167" s="3" t="str">
        <f t="shared" ca="1" si="26"/>
        <v/>
      </c>
    </row>
    <row r="168" spans="1:25" s="3" customFormat="1" x14ac:dyDescent="0.4">
      <c r="A168" s="34" t="str">
        <f t="shared" si="24"/>
        <v/>
      </c>
      <c r="B168" s="15"/>
      <c r="C168" s="16"/>
      <c r="D168" s="5"/>
      <c r="E168" s="5"/>
      <c r="F168" s="79"/>
      <c r="G168" s="80"/>
      <c r="H168" s="80"/>
      <c r="I168" s="81"/>
      <c r="J168" s="16"/>
      <c r="K168" s="5"/>
      <c r="L168" s="5"/>
      <c r="M168" s="64"/>
      <c r="N168" s="65"/>
      <c r="O168" s="66"/>
      <c r="P168" s="17"/>
      <c r="Q168" s="50"/>
      <c r="R168" s="6"/>
      <c r="S168" s="58"/>
      <c r="T168" s="63" t="str">
        <f t="shared" ca="1" si="25"/>
        <v/>
      </c>
      <c r="U168" s="3" t="str">
        <f t="shared" ca="1" si="19"/>
        <v/>
      </c>
      <c r="V168" s="3" t="str">
        <f t="shared" ca="1" si="20"/>
        <v/>
      </c>
      <c r="W168" s="1" t="str">
        <f t="shared" ca="1" si="21"/>
        <v/>
      </c>
      <c r="X168" s="1" t="str">
        <f t="shared" ca="1" si="22"/>
        <v/>
      </c>
      <c r="Y168" s="3" t="str">
        <f t="shared" ca="1" si="26"/>
        <v/>
      </c>
    </row>
    <row r="169" spans="1:25" s="3" customFormat="1" x14ac:dyDescent="0.4">
      <c r="A169" s="34" t="str">
        <f t="shared" si="24"/>
        <v/>
      </c>
      <c r="B169" s="15"/>
      <c r="C169" s="16"/>
      <c r="D169" s="5"/>
      <c r="E169" s="5"/>
      <c r="F169" s="79"/>
      <c r="G169" s="80"/>
      <c r="H169" s="80"/>
      <c r="I169" s="81"/>
      <c r="J169" s="16"/>
      <c r="K169" s="5"/>
      <c r="L169" s="5"/>
      <c r="M169" s="64"/>
      <c r="N169" s="65"/>
      <c r="O169" s="66"/>
      <c r="P169" s="17"/>
      <c r="Q169" s="50"/>
      <c r="R169" s="6"/>
      <c r="S169" s="58"/>
      <c r="T169" s="63" t="str">
        <f t="shared" ca="1" si="25"/>
        <v/>
      </c>
      <c r="U169" s="3" t="str">
        <f t="shared" ca="1" si="19"/>
        <v/>
      </c>
      <c r="V169" s="3" t="str">
        <f t="shared" ca="1" si="20"/>
        <v/>
      </c>
      <c r="W169" s="1" t="str">
        <f t="shared" ca="1" si="21"/>
        <v/>
      </c>
      <c r="X169" s="1" t="str">
        <f t="shared" ca="1" si="22"/>
        <v/>
      </c>
      <c r="Y169" s="3" t="str">
        <f t="shared" ca="1" si="26"/>
        <v/>
      </c>
    </row>
    <row r="170" spans="1:25" s="3" customFormat="1" x14ac:dyDescent="0.4">
      <c r="A170" s="34" t="str">
        <f t="shared" si="24"/>
        <v/>
      </c>
      <c r="B170" s="15"/>
      <c r="C170" s="16"/>
      <c r="D170" s="5"/>
      <c r="E170" s="5"/>
      <c r="F170" s="79"/>
      <c r="G170" s="80"/>
      <c r="H170" s="80"/>
      <c r="I170" s="81"/>
      <c r="J170" s="16"/>
      <c r="K170" s="5"/>
      <c r="L170" s="5"/>
      <c r="M170" s="64"/>
      <c r="N170" s="65"/>
      <c r="O170" s="66"/>
      <c r="P170" s="17"/>
      <c r="Q170" s="50"/>
      <c r="R170" s="6"/>
      <c r="S170" s="58"/>
      <c r="T170" s="63" t="str">
        <f t="shared" ca="1" si="25"/>
        <v/>
      </c>
      <c r="U170" s="3" t="str">
        <f t="shared" ca="1" si="19"/>
        <v/>
      </c>
      <c r="V170" s="3" t="str">
        <f t="shared" ca="1" si="20"/>
        <v/>
      </c>
      <c r="W170" s="1" t="str">
        <f t="shared" ca="1" si="21"/>
        <v/>
      </c>
      <c r="X170" s="1" t="str">
        <f t="shared" ca="1" si="22"/>
        <v/>
      </c>
      <c r="Y170" s="3" t="str">
        <f t="shared" ca="1" si="26"/>
        <v/>
      </c>
    </row>
    <row r="171" spans="1:25" s="3" customFormat="1" x14ac:dyDescent="0.4">
      <c r="A171" s="34" t="str">
        <f t="shared" si="24"/>
        <v/>
      </c>
      <c r="B171" s="15"/>
      <c r="C171" s="16"/>
      <c r="D171" s="5"/>
      <c r="E171" s="5"/>
      <c r="F171" s="79"/>
      <c r="G171" s="80"/>
      <c r="H171" s="80"/>
      <c r="I171" s="81"/>
      <c r="J171" s="16"/>
      <c r="K171" s="5"/>
      <c r="L171" s="5"/>
      <c r="M171" s="64"/>
      <c r="N171" s="65"/>
      <c r="O171" s="66"/>
      <c r="P171" s="17"/>
      <c r="Q171" s="50"/>
      <c r="R171" s="6"/>
      <c r="S171" s="58"/>
      <c r="T171" s="63" t="str">
        <f t="shared" ca="1" si="25"/>
        <v/>
      </c>
      <c r="U171" s="3" t="str">
        <f t="shared" ca="1" si="19"/>
        <v/>
      </c>
      <c r="V171" s="3" t="str">
        <f t="shared" ca="1" si="20"/>
        <v/>
      </c>
      <c r="W171" s="1" t="str">
        <f t="shared" ca="1" si="21"/>
        <v/>
      </c>
      <c r="X171" s="1" t="str">
        <f t="shared" ca="1" si="22"/>
        <v/>
      </c>
      <c r="Y171" s="3" t="str">
        <f t="shared" ca="1" si="26"/>
        <v/>
      </c>
    </row>
    <row r="172" spans="1:25" s="3" customFormat="1" x14ac:dyDescent="0.4">
      <c r="A172" s="34" t="str">
        <f t="shared" si="24"/>
        <v/>
      </c>
      <c r="B172" s="15"/>
      <c r="C172" s="16"/>
      <c r="D172" s="5"/>
      <c r="E172" s="5"/>
      <c r="F172" s="79"/>
      <c r="G172" s="80"/>
      <c r="H172" s="80"/>
      <c r="I172" s="81"/>
      <c r="J172" s="16"/>
      <c r="K172" s="5"/>
      <c r="L172" s="5"/>
      <c r="M172" s="64"/>
      <c r="N172" s="65"/>
      <c r="O172" s="66"/>
      <c r="P172" s="17"/>
      <c r="Q172" s="50"/>
      <c r="R172" s="6"/>
      <c r="S172" s="58"/>
      <c r="T172" s="63" t="str">
        <f t="shared" ca="1" si="25"/>
        <v/>
      </c>
      <c r="U172" s="3" t="str">
        <f t="shared" ca="1" si="19"/>
        <v/>
      </c>
      <c r="V172" s="3" t="str">
        <f t="shared" ca="1" si="20"/>
        <v/>
      </c>
      <c r="W172" s="1" t="str">
        <f t="shared" ca="1" si="21"/>
        <v/>
      </c>
      <c r="X172" s="1" t="str">
        <f t="shared" ca="1" si="22"/>
        <v/>
      </c>
      <c r="Y172" s="3" t="str">
        <f t="shared" ca="1" si="26"/>
        <v/>
      </c>
    </row>
    <row r="173" spans="1:25" s="3" customFormat="1" x14ac:dyDescent="0.4">
      <c r="A173" s="34" t="str">
        <f t="shared" si="24"/>
        <v/>
      </c>
      <c r="B173" s="15"/>
      <c r="C173" s="16"/>
      <c r="D173" s="5"/>
      <c r="E173" s="5"/>
      <c r="F173" s="79"/>
      <c r="G173" s="80"/>
      <c r="H173" s="80"/>
      <c r="I173" s="81"/>
      <c r="J173" s="16"/>
      <c r="K173" s="5"/>
      <c r="L173" s="5"/>
      <c r="M173" s="64"/>
      <c r="N173" s="65"/>
      <c r="O173" s="66"/>
      <c r="P173" s="17"/>
      <c r="Q173" s="50"/>
      <c r="R173" s="6"/>
      <c r="S173" s="58"/>
      <c r="T173" s="63" t="str">
        <f t="shared" ca="1" si="25"/>
        <v/>
      </c>
      <c r="U173" s="3" t="str">
        <f t="shared" ca="1" si="19"/>
        <v/>
      </c>
      <c r="V173" s="3" t="str">
        <f t="shared" ca="1" si="20"/>
        <v/>
      </c>
      <c r="W173" s="1" t="str">
        <f t="shared" ca="1" si="21"/>
        <v/>
      </c>
      <c r="X173" s="1" t="str">
        <f t="shared" ca="1" si="22"/>
        <v/>
      </c>
      <c r="Y173" s="3" t="str">
        <f t="shared" ca="1" si="26"/>
        <v/>
      </c>
    </row>
    <row r="174" spans="1:25" s="3" customFormat="1" x14ac:dyDescent="0.4">
      <c r="A174" s="34" t="str">
        <f t="shared" si="24"/>
        <v/>
      </c>
      <c r="B174" s="15"/>
      <c r="C174" s="16"/>
      <c r="D174" s="5"/>
      <c r="E174" s="5"/>
      <c r="F174" s="79"/>
      <c r="G174" s="80"/>
      <c r="H174" s="80"/>
      <c r="I174" s="81"/>
      <c r="J174" s="16"/>
      <c r="K174" s="5"/>
      <c r="L174" s="5"/>
      <c r="M174" s="64"/>
      <c r="N174" s="65"/>
      <c r="O174" s="66"/>
      <c r="P174" s="17"/>
      <c r="Q174" s="50"/>
      <c r="R174" s="6"/>
      <c r="S174" s="58"/>
      <c r="T174" s="63" t="str">
        <f t="shared" ca="1" si="25"/>
        <v/>
      </c>
      <c r="U174" s="3" t="str">
        <f t="shared" ca="1" si="19"/>
        <v/>
      </c>
      <c r="V174" s="3" t="str">
        <f t="shared" ca="1" si="20"/>
        <v/>
      </c>
      <c r="W174" s="1" t="str">
        <f t="shared" ca="1" si="21"/>
        <v/>
      </c>
      <c r="X174" s="1" t="str">
        <f t="shared" ca="1" si="22"/>
        <v/>
      </c>
      <c r="Y174" s="3" t="str">
        <f t="shared" ca="1" si="26"/>
        <v/>
      </c>
    </row>
    <row r="175" spans="1:25" s="3" customFormat="1" x14ac:dyDescent="0.4">
      <c r="A175" s="34" t="str">
        <f t="shared" si="24"/>
        <v/>
      </c>
      <c r="B175" s="15"/>
      <c r="C175" s="16"/>
      <c r="D175" s="5"/>
      <c r="E175" s="5"/>
      <c r="F175" s="79"/>
      <c r="G175" s="80"/>
      <c r="H175" s="80"/>
      <c r="I175" s="81"/>
      <c r="J175" s="16"/>
      <c r="K175" s="5"/>
      <c r="L175" s="5"/>
      <c r="M175" s="64"/>
      <c r="N175" s="65"/>
      <c r="O175" s="66"/>
      <c r="P175" s="17"/>
      <c r="Q175" s="50"/>
      <c r="R175" s="6"/>
      <c r="S175" s="58"/>
      <c r="T175" s="63" t="str">
        <f t="shared" ca="1" si="25"/>
        <v/>
      </c>
      <c r="U175" s="3" t="str">
        <f t="shared" ca="1" si="19"/>
        <v/>
      </c>
      <c r="V175" s="3" t="str">
        <f t="shared" ca="1" si="20"/>
        <v/>
      </c>
      <c r="W175" s="1" t="str">
        <f t="shared" ca="1" si="21"/>
        <v/>
      </c>
      <c r="X175" s="1" t="str">
        <f t="shared" ca="1" si="22"/>
        <v/>
      </c>
      <c r="Y175" s="3" t="str">
        <f t="shared" ca="1" si="26"/>
        <v/>
      </c>
    </row>
    <row r="176" spans="1:25" s="3" customFormat="1" x14ac:dyDescent="0.4">
      <c r="A176" s="34" t="str">
        <f t="shared" si="24"/>
        <v/>
      </c>
      <c r="B176" s="15"/>
      <c r="C176" s="16"/>
      <c r="D176" s="5"/>
      <c r="E176" s="5"/>
      <c r="F176" s="79"/>
      <c r="G176" s="80"/>
      <c r="H176" s="80"/>
      <c r="I176" s="81"/>
      <c r="J176" s="16"/>
      <c r="K176" s="5"/>
      <c r="L176" s="5"/>
      <c r="M176" s="64"/>
      <c r="N176" s="65"/>
      <c r="O176" s="66"/>
      <c r="P176" s="17"/>
      <c r="Q176" s="50"/>
      <c r="R176" s="6"/>
      <c r="S176" s="58"/>
      <c r="T176" s="63" t="str">
        <f t="shared" ca="1" si="25"/>
        <v/>
      </c>
      <c r="U176" s="3" t="str">
        <f t="shared" ca="1" si="19"/>
        <v/>
      </c>
      <c r="V176" s="3" t="str">
        <f t="shared" ca="1" si="20"/>
        <v/>
      </c>
      <c r="W176" s="1" t="str">
        <f t="shared" ca="1" si="21"/>
        <v/>
      </c>
      <c r="X176" s="1" t="str">
        <f t="shared" ca="1" si="22"/>
        <v/>
      </c>
      <c r="Y176" s="3" t="str">
        <f t="shared" ca="1" si="26"/>
        <v/>
      </c>
    </row>
    <row r="177" spans="1:25" s="3" customFormat="1" x14ac:dyDescent="0.4">
      <c r="A177" s="34" t="str">
        <f t="shared" si="24"/>
        <v/>
      </c>
      <c r="B177" s="15"/>
      <c r="C177" s="16"/>
      <c r="D177" s="5"/>
      <c r="E177" s="5"/>
      <c r="F177" s="79"/>
      <c r="G177" s="80"/>
      <c r="H177" s="80"/>
      <c r="I177" s="81"/>
      <c r="J177" s="16"/>
      <c r="K177" s="5"/>
      <c r="L177" s="5"/>
      <c r="M177" s="64"/>
      <c r="N177" s="65"/>
      <c r="O177" s="66"/>
      <c r="P177" s="17"/>
      <c r="Q177" s="50"/>
      <c r="R177" s="6"/>
      <c r="S177" s="58"/>
      <c r="T177" s="63" t="str">
        <f t="shared" ca="1" si="25"/>
        <v/>
      </c>
      <c r="U177" s="3" t="str">
        <f t="shared" ca="1" si="19"/>
        <v/>
      </c>
      <c r="V177" s="3" t="str">
        <f t="shared" ca="1" si="20"/>
        <v/>
      </c>
      <c r="W177" s="1" t="str">
        <f t="shared" ca="1" si="21"/>
        <v/>
      </c>
      <c r="X177" s="1" t="str">
        <f t="shared" ca="1" si="22"/>
        <v/>
      </c>
      <c r="Y177" s="3" t="str">
        <f t="shared" ca="1" si="26"/>
        <v/>
      </c>
    </row>
    <row r="178" spans="1:25" s="3" customFormat="1" x14ac:dyDescent="0.4">
      <c r="A178" s="34" t="str">
        <f t="shared" si="24"/>
        <v/>
      </c>
      <c r="B178" s="15"/>
      <c r="C178" s="16"/>
      <c r="D178" s="5"/>
      <c r="E178" s="5"/>
      <c r="F178" s="79"/>
      <c r="G178" s="80"/>
      <c r="H178" s="80"/>
      <c r="I178" s="81"/>
      <c r="J178" s="16"/>
      <c r="K178" s="5"/>
      <c r="L178" s="5"/>
      <c r="M178" s="64"/>
      <c r="N178" s="65"/>
      <c r="O178" s="66"/>
      <c r="P178" s="17"/>
      <c r="Q178" s="50"/>
      <c r="R178" s="6"/>
      <c r="S178" s="58"/>
      <c r="T178" s="63" t="str">
        <f t="shared" ca="1" si="25"/>
        <v/>
      </c>
      <c r="U178" s="3" t="str">
        <f t="shared" ca="1" si="19"/>
        <v/>
      </c>
      <c r="V178" s="3" t="str">
        <f t="shared" ca="1" si="20"/>
        <v/>
      </c>
      <c r="W178" s="1" t="str">
        <f t="shared" ca="1" si="21"/>
        <v/>
      </c>
      <c r="X178" s="1" t="str">
        <f t="shared" ca="1" si="22"/>
        <v/>
      </c>
      <c r="Y178" s="3" t="str">
        <f t="shared" ca="1" si="26"/>
        <v/>
      </c>
    </row>
    <row r="179" spans="1:25" s="3" customFormat="1" x14ac:dyDescent="0.4">
      <c r="A179" s="34" t="str">
        <f t="shared" si="24"/>
        <v/>
      </c>
      <c r="B179" s="15"/>
      <c r="C179" s="16"/>
      <c r="D179" s="5"/>
      <c r="E179" s="5"/>
      <c r="F179" s="79"/>
      <c r="G179" s="80"/>
      <c r="H179" s="80"/>
      <c r="I179" s="81"/>
      <c r="J179" s="16"/>
      <c r="K179" s="5"/>
      <c r="L179" s="5"/>
      <c r="M179" s="64"/>
      <c r="N179" s="65"/>
      <c r="O179" s="66"/>
      <c r="P179" s="17"/>
      <c r="Q179" s="50"/>
      <c r="R179" s="6"/>
      <c r="S179" s="58"/>
      <c r="T179" s="63" t="str">
        <f t="shared" ca="1" si="25"/>
        <v/>
      </c>
      <c r="U179" s="3" t="str">
        <f t="shared" ca="1" si="19"/>
        <v/>
      </c>
      <c r="V179" s="3" t="str">
        <f t="shared" ca="1" si="20"/>
        <v/>
      </c>
      <c r="W179" s="1" t="str">
        <f t="shared" ca="1" si="21"/>
        <v/>
      </c>
      <c r="X179" s="1" t="str">
        <f t="shared" ca="1" si="22"/>
        <v/>
      </c>
      <c r="Y179" s="3" t="str">
        <f t="shared" ca="1" si="26"/>
        <v/>
      </c>
    </row>
    <row r="180" spans="1:25" s="3" customFormat="1" x14ac:dyDescent="0.4">
      <c r="A180" s="34" t="str">
        <f t="shared" si="24"/>
        <v/>
      </c>
      <c r="B180" s="15"/>
      <c r="C180" s="16"/>
      <c r="D180" s="5"/>
      <c r="E180" s="5"/>
      <c r="F180" s="79"/>
      <c r="G180" s="80"/>
      <c r="H180" s="80"/>
      <c r="I180" s="81"/>
      <c r="J180" s="16"/>
      <c r="K180" s="5"/>
      <c r="L180" s="5"/>
      <c r="M180" s="64"/>
      <c r="N180" s="65"/>
      <c r="O180" s="66"/>
      <c r="P180" s="17"/>
      <c r="Q180" s="50"/>
      <c r="R180" s="6"/>
      <c r="S180" s="58"/>
      <c r="T180" s="63" t="str">
        <f t="shared" ca="1" si="25"/>
        <v/>
      </c>
      <c r="U180" s="3" t="str">
        <f t="shared" ca="1" si="19"/>
        <v/>
      </c>
      <c r="V180" s="3" t="str">
        <f t="shared" ca="1" si="20"/>
        <v/>
      </c>
      <c r="W180" s="1" t="str">
        <f t="shared" ca="1" si="21"/>
        <v/>
      </c>
      <c r="X180" s="1" t="str">
        <f t="shared" ca="1" si="22"/>
        <v/>
      </c>
      <c r="Y180" s="3" t="str">
        <f t="shared" ca="1" si="26"/>
        <v/>
      </c>
    </row>
    <row r="181" spans="1:25" s="3" customFormat="1" x14ac:dyDescent="0.4">
      <c r="A181" s="34" t="str">
        <f t="shared" si="24"/>
        <v/>
      </c>
      <c r="B181" s="15"/>
      <c r="C181" s="16"/>
      <c r="D181" s="5"/>
      <c r="E181" s="5"/>
      <c r="F181" s="79"/>
      <c r="G181" s="80"/>
      <c r="H181" s="80"/>
      <c r="I181" s="81"/>
      <c r="J181" s="16"/>
      <c r="K181" s="5"/>
      <c r="L181" s="5"/>
      <c r="M181" s="64"/>
      <c r="N181" s="65"/>
      <c r="O181" s="66"/>
      <c r="P181" s="17"/>
      <c r="Q181" s="50"/>
      <c r="R181" s="6"/>
      <c r="S181" s="58"/>
      <c r="T181" s="63" t="str">
        <f t="shared" ca="1" si="25"/>
        <v/>
      </c>
      <c r="U181" s="3" t="str">
        <f t="shared" ca="1" si="19"/>
        <v/>
      </c>
      <c r="V181" s="3" t="str">
        <f t="shared" ca="1" si="20"/>
        <v/>
      </c>
      <c r="W181" s="1" t="str">
        <f t="shared" ca="1" si="21"/>
        <v/>
      </c>
      <c r="X181" s="1" t="str">
        <f t="shared" ca="1" si="22"/>
        <v/>
      </c>
      <c r="Y181" s="3" t="str">
        <f t="shared" ca="1" si="26"/>
        <v/>
      </c>
    </row>
    <row r="182" spans="1:25" s="3" customFormat="1" x14ac:dyDescent="0.4">
      <c r="A182" s="34" t="str">
        <f t="shared" si="24"/>
        <v/>
      </c>
      <c r="B182" s="15"/>
      <c r="C182" s="16"/>
      <c r="D182" s="5"/>
      <c r="E182" s="5"/>
      <c r="F182" s="79"/>
      <c r="G182" s="80"/>
      <c r="H182" s="80"/>
      <c r="I182" s="81"/>
      <c r="J182" s="16"/>
      <c r="K182" s="5"/>
      <c r="L182" s="5"/>
      <c r="M182" s="64"/>
      <c r="N182" s="65"/>
      <c r="O182" s="66"/>
      <c r="P182" s="17"/>
      <c r="Q182" s="50"/>
      <c r="R182" s="6"/>
      <c r="S182" s="58"/>
      <c r="T182" s="63" t="str">
        <f t="shared" ca="1" si="25"/>
        <v/>
      </c>
      <c r="U182" s="3" t="str">
        <f t="shared" ca="1" si="19"/>
        <v/>
      </c>
      <c r="V182" s="3" t="str">
        <f t="shared" ca="1" si="20"/>
        <v/>
      </c>
      <c r="W182" s="1" t="str">
        <f t="shared" ca="1" si="21"/>
        <v/>
      </c>
      <c r="X182" s="1" t="str">
        <f t="shared" ca="1" si="22"/>
        <v/>
      </c>
      <c r="Y182" s="3" t="str">
        <f t="shared" ca="1" si="26"/>
        <v/>
      </c>
    </row>
    <row r="183" spans="1:25" s="3" customFormat="1" x14ac:dyDescent="0.4">
      <c r="A183" s="34" t="str">
        <f t="shared" si="24"/>
        <v/>
      </c>
      <c r="B183" s="15"/>
      <c r="C183" s="16"/>
      <c r="D183" s="5"/>
      <c r="E183" s="5"/>
      <c r="F183" s="79"/>
      <c r="G183" s="80"/>
      <c r="H183" s="80"/>
      <c r="I183" s="81"/>
      <c r="J183" s="16"/>
      <c r="K183" s="5"/>
      <c r="L183" s="5"/>
      <c r="M183" s="64"/>
      <c r="N183" s="65"/>
      <c r="O183" s="66"/>
      <c r="P183" s="17"/>
      <c r="Q183" s="50"/>
      <c r="R183" s="6"/>
      <c r="S183" s="58"/>
      <c r="T183" s="63" t="str">
        <f t="shared" ca="1" si="25"/>
        <v/>
      </c>
      <c r="U183" s="3" t="str">
        <f t="shared" ca="1" si="19"/>
        <v/>
      </c>
      <c r="V183" s="3" t="str">
        <f t="shared" ca="1" si="20"/>
        <v/>
      </c>
      <c r="W183" s="1" t="str">
        <f t="shared" ca="1" si="21"/>
        <v/>
      </c>
      <c r="X183" s="1" t="str">
        <f t="shared" ca="1" si="22"/>
        <v/>
      </c>
      <c r="Y183" s="3" t="str">
        <f t="shared" ca="1" si="26"/>
        <v/>
      </c>
    </row>
    <row r="184" spans="1:25" s="3" customFormat="1" x14ac:dyDescent="0.4">
      <c r="A184" s="34" t="str">
        <f t="shared" si="24"/>
        <v/>
      </c>
      <c r="B184" s="15"/>
      <c r="C184" s="16"/>
      <c r="D184" s="5"/>
      <c r="E184" s="5"/>
      <c r="F184" s="79"/>
      <c r="G184" s="80"/>
      <c r="H184" s="80"/>
      <c r="I184" s="81"/>
      <c r="J184" s="16"/>
      <c r="K184" s="5"/>
      <c r="L184" s="5"/>
      <c r="M184" s="64"/>
      <c r="N184" s="65"/>
      <c r="O184" s="66"/>
      <c r="P184" s="17"/>
      <c r="Q184" s="50"/>
      <c r="R184" s="6"/>
      <c r="S184" s="58"/>
      <c r="T184" s="63" t="str">
        <f t="shared" ca="1" si="25"/>
        <v/>
      </c>
      <c r="U184" s="3" t="str">
        <f t="shared" ca="1" si="19"/>
        <v/>
      </c>
      <c r="V184" s="3" t="str">
        <f t="shared" ca="1" si="20"/>
        <v/>
      </c>
      <c r="W184" s="1" t="str">
        <f t="shared" ca="1" si="21"/>
        <v/>
      </c>
      <c r="X184" s="1" t="str">
        <f t="shared" ca="1" si="22"/>
        <v/>
      </c>
      <c r="Y184" s="3" t="str">
        <f t="shared" ca="1" si="26"/>
        <v/>
      </c>
    </row>
    <row r="185" spans="1:25" s="3" customFormat="1" x14ac:dyDescent="0.4">
      <c r="A185" s="34" t="str">
        <f t="shared" si="24"/>
        <v/>
      </c>
      <c r="B185" s="15"/>
      <c r="C185" s="16"/>
      <c r="D185" s="5"/>
      <c r="E185" s="5"/>
      <c r="F185" s="79"/>
      <c r="G185" s="80"/>
      <c r="H185" s="80"/>
      <c r="I185" s="81"/>
      <c r="J185" s="16"/>
      <c r="K185" s="5"/>
      <c r="L185" s="5"/>
      <c r="M185" s="64"/>
      <c r="N185" s="65"/>
      <c r="O185" s="66"/>
      <c r="P185" s="17"/>
      <c r="Q185" s="50"/>
      <c r="R185" s="6"/>
      <c r="S185" s="58"/>
      <c r="T185" s="63" t="str">
        <f t="shared" ca="1" si="25"/>
        <v/>
      </c>
      <c r="U185" s="3" t="str">
        <f t="shared" ca="1" si="19"/>
        <v/>
      </c>
      <c r="V185" s="3" t="str">
        <f t="shared" ca="1" si="20"/>
        <v/>
      </c>
      <c r="W185" s="1" t="str">
        <f t="shared" ca="1" si="21"/>
        <v/>
      </c>
      <c r="X185" s="1" t="str">
        <f t="shared" ca="1" si="22"/>
        <v/>
      </c>
      <c r="Y185" s="3" t="str">
        <f t="shared" ca="1" si="26"/>
        <v/>
      </c>
    </row>
    <row r="186" spans="1:25" s="3" customFormat="1" x14ac:dyDescent="0.4">
      <c r="A186" s="34" t="str">
        <f t="shared" si="24"/>
        <v/>
      </c>
      <c r="B186" s="15"/>
      <c r="C186" s="16"/>
      <c r="D186" s="5"/>
      <c r="E186" s="5"/>
      <c r="F186" s="79"/>
      <c r="G186" s="80"/>
      <c r="H186" s="80"/>
      <c r="I186" s="81"/>
      <c r="J186" s="16"/>
      <c r="K186" s="5"/>
      <c r="L186" s="5"/>
      <c r="M186" s="64"/>
      <c r="N186" s="65"/>
      <c r="O186" s="66"/>
      <c r="P186" s="17"/>
      <c r="Q186" s="50"/>
      <c r="R186" s="6"/>
      <c r="S186" s="58"/>
      <c r="T186" s="63" t="str">
        <f t="shared" ca="1" si="25"/>
        <v/>
      </c>
      <c r="U186" s="3" t="str">
        <f t="shared" ca="1" si="19"/>
        <v/>
      </c>
      <c r="V186" s="3" t="str">
        <f t="shared" ca="1" si="20"/>
        <v/>
      </c>
      <c r="W186" s="1" t="str">
        <f t="shared" ca="1" si="21"/>
        <v/>
      </c>
      <c r="X186" s="1" t="str">
        <f t="shared" ca="1" si="22"/>
        <v/>
      </c>
      <c r="Y186" s="3" t="str">
        <f t="shared" ca="1" si="26"/>
        <v/>
      </c>
    </row>
    <row r="187" spans="1:25" s="3" customFormat="1" x14ac:dyDescent="0.4">
      <c r="A187" s="34" t="str">
        <f t="shared" si="24"/>
        <v/>
      </c>
      <c r="B187" s="15"/>
      <c r="C187" s="16"/>
      <c r="D187" s="5"/>
      <c r="E187" s="5"/>
      <c r="F187" s="79"/>
      <c r="G187" s="80"/>
      <c r="H187" s="80"/>
      <c r="I187" s="81"/>
      <c r="J187" s="16"/>
      <c r="K187" s="5"/>
      <c r="L187" s="5"/>
      <c r="M187" s="64"/>
      <c r="N187" s="65"/>
      <c r="O187" s="66"/>
      <c r="P187" s="17"/>
      <c r="Q187" s="50"/>
      <c r="R187" s="6"/>
      <c r="S187" s="58"/>
      <c r="T187" s="63" t="str">
        <f t="shared" ca="1" si="25"/>
        <v/>
      </c>
      <c r="U187" s="3" t="str">
        <f t="shared" ca="1" si="19"/>
        <v/>
      </c>
      <c r="V187" s="3" t="str">
        <f t="shared" ca="1" si="20"/>
        <v/>
      </c>
      <c r="W187" s="1" t="str">
        <f t="shared" ca="1" si="21"/>
        <v/>
      </c>
      <c r="X187" s="1" t="str">
        <f t="shared" ca="1" si="22"/>
        <v/>
      </c>
      <c r="Y187" s="3" t="str">
        <f t="shared" ca="1" si="26"/>
        <v/>
      </c>
    </row>
    <row r="188" spans="1:25" s="3" customFormat="1" x14ac:dyDescent="0.4">
      <c r="A188" s="34" t="str">
        <f t="shared" si="24"/>
        <v/>
      </c>
      <c r="B188" s="15"/>
      <c r="C188" s="16"/>
      <c r="D188" s="5"/>
      <c r="E188" s="5"/>
      <c r="F188" s="79"/>
      <c r="G188" s="80"/>
      <c r="H188" s="80"/>
      <c r="I188" s="81"/>
      <c r="J188" s="16"/>
      <c r="K188" s="5"/>
      <c r="L188" s="5"/>
      <c r="M188" s="64"/>
      <c r="N188" s="65"/>
      <c r="O188" s="66"/>
      <c r="P188" s="17"/>
      <c r="Q188" s="50"/>
      <c r="R188" s="6"/>
      <c r="S188" s="58"/>
      <c r="T188" s="63" t="str">
        <f t="shared" ca="1" si="25"/>
        <v/>
      </c>
      <c r="U188" s="3" t="str">
        <f t="shared" ca="1" si="19"/>
        <v/>
      </c>
      <c r="V188" s="3" t="str">
        <f t="shared" ca="1" si="20"/>
        <v/>
      </c>
      <c r="W188" s="1" t="str">
        <f t="shared" ca="1" si="21"/>
        <v/>
      </c>
      <c r="X188" s="1" t="str">
        <f t="shared" ca="1" si="22"/>
        <v/>
      </c>
      <c r="Y188" s="3" t="str">
        <f t="shared" ca="1" si="26"/>
        <v/>
      </c>
    </row>
    <row r="189" spans="1:25" s="3" customFormat="1" x14ac:dyDescent="0.4">
      <c r="A189" s="34" t="str">
        <f t="shared" si="24"/>
        <v/>
      </c>
      <c r="B189" s="15"/>
      <c r="C189" s="16"/>
      <c r="D189" s="5"/>
      <c r="E189" s="5"/>
      <c r="F189" s="79"/>
      <c r="G189" s="80"/>
      <c r="H189" s="80"/>
      <c r="I189" s="81"/>
      <c r="J189" s="16"/>
      <c r="K189" s="5"/>
      <c r="L189" s="5"/>
      <c r="M189" s="64"/>
      <c r="N189" s="65"/>
      <c r="O189" s="66"/>
      <c r="P189" s="17"/>
      <c r="Q189" s="50"/>
      <c r="R189" s="6"/>
      <c r="S189" s="58"/>
      <c r="T189" s="63" t="str">
        <f t="shared" ca="1" si="25"/>
        <v/>
      </c>
      <c r="U189" s="3" t="str">
        <f t="shared" ca="1" si="19"/>
        <v/>
      </c>
      <c r="V189" s="3" t="str">
        <f t="shared" ca="1" si="20"/>
        <v/>
      </c>
      <c r="W189" s="1" t="str">
        <f t="shared" ca="1" si="21"/>
        <v/>
      </c>
      <c r="X189" s="1" t="str">
        <f t="shared" ca="1" si="22"/>
        <v/>
      </c>
      <c r="Y189" s="3" t="str">
        <f t="shared" ca="1" si="26"/>
        <v/>
      </c>
    </row>
    <row r="190" spans="1:25" s="3" customFormat="1" x14ac:dyDescent="0.4">
      <c r="A190" s="34" t="str">
        <f t="shared" si="24"/>
        <v/>
      </c>
      <c r="B190" s="15"/>
      <c r="C190" s="16"/>
      <c r="D190" s="5"/>
      <c r="E190" s="5"/>
      <c r="F190" s="79"/>
      <c r="G190" s="80"/>
      <c r="H190" s="80"/>
      <c r="I190" s="81"/>
      <c r="J190" s="16"/>
      <c r="K190" s="5"/>
      <c r="L190" s="5"/>
      <c r="M190" s="64"/>
      <c r="N190" s="65"/>
      <c r="O190" s="66"/>
      <c r="P190" s="17"/>
      <c r="Q190" s="50"/>
      <c r="R190" s="6"/>
      <c r="S190" s="58"/>
      <c r="T190" s="63" t="str">
        <f t="shared" ca="1" si="25"/>
        <v/>
      </c>
      <c r="U190" s="3" t="str">
        <f t="shared" ca="1" si="19"/>
        <v/>
      </c>
      <c r="V190" s="3" t="str">
        <f t="shared" ca="1" si="20"/>
        <v/>
      </c>
      <c r="W190" s="1" t="str">
        <f t="shared" ca="1" si="21"/>
        <v/>
      </c>
      <c r="X190" s="1" t="str">
        <f t="shared" ca="1" si="22"/>
        <v/>
      </c>
      <c r="Y190" s="3" t="str">
        <f t="shared" ca="1" si="26"/>
        <v/>
      </c>
    </row>
    <row r="191" spans="1:25" s="3" customFormat="1" x14ac:dyDescent="0.4">
      <c r="A191" s="34" t="str">
        <f t="shared" si="24"/>
        <v/>
      </c>
      <c r="B191" s="15"/>
      <c r="C191" s="16"/>
      <c r="D191" s="5"/>
      <c r="E191" s="5"/>
      <c r="F191" s="79"/>
      <c r="G191" s="80"/>
      <c r="H191" s="80"/>
      <c r="I191" s="81"/>
      <c r="J191" s="16"/>
      <c r="K191" s="5"/>
      <c r="L191" s="5"/>
      <c r="M191" s="64"/>
      <c r="N191" s="65"/>
      <c r="O191" s="66"/>
      <c r="P191" s="17"/>
      <c r="Q191" s="50"/>
      <c r="R191" s="6"/>
      <c r="S191" s="58"/>
      <c r="T191" s="63" t="str">
        <f t="shared" ca="1" si="25"/>
        <v/>
      </c>
      <c r="U191" s="3" t="str">
        <f t="shared" ca="1" si="19"/>
        <v/>
      </c>
      <c r="V191" s="3" t="str">
        <f t="shared" ca="1" si="20"/>
        <v/>
      </c>
      <c r="W191" s="1" t="str">
        <f t="shared" ca="1" si="21"/>
        <v/>
      </c>
      <c r="X191" s="1" t="str">
        <f t="shared" ca="1" si="22"/>
        <v/>
      </c>
      <c r="Y191" s="3" t="str">
        <f t="shared" ca="1" si="26"/>
        <v/>
      </c>
    </row>
    <row r="192" spans="1:25" s="3" customFormat="1" x14ac:dyDescent="0.4">
      <c r="A192" s="34" t="str">
        <f t="shared" si="24"/>
        <v/>
      </c>
      <c r="B192" s="15"/>
      <c r="C192" s="16"/>
      <c r="D192" s="5"/>
      <c r="E192" s="5"/>
      <c r="F192" s="79"/>
      <c r="G192" s="80"/>
      <c r="H192" s="80"/>
      <c r="I192" s="81"/>
      <c r="J192" s="16"/>
      <c r="K192" s="5"/>
      <c r="L192" s="5"/>
      <c r="M192" s="64"/>
      <c r="N192" s="65"/>
      <c r="O192" s="66"/>
      <c r="P192" s="17"/>
      <c r="Q192" s="50"/>
      <c r="R192" s="6"/>
      <c r="S192" s="58"/>
      <c r="T192" s="63" t="str">
        <f t="shared" ca="1" si="25"/>
        <v/>
      </c>
      <c r="U192" s="3" t="str">
        <f t="shared" ca="1" si="19"/>
        <v/>
      </c>
      <c r="V192" s="3" t="str">
        <f t="shared" ca="1" si="20"/>
        <v/>
      </c>
      <c r="W192" s="1" t="str">
        <f t="shared" ca="1" si="21"/>
        <v/>
      </c>
      <c r="X192" s="1" t="str">
        <f t="shared" ca="1" si="22"/>
        <v/>
      </c>
      <c r="Y192" s="3" t="str">
        <f t="shared" ca="1" si="26"/>
        <v/>
      </c>
    </row>
    <row r="193" spans="1:25" s="3" customFormat="1" x14ac:dyDescent="0.4">
      <c r="A193" s="34" t="str">
        <f t="shared" si="24"/>
        <v/>
      </c>
      <c r="B193" s="15"/>
      <c r="C193" s="16"/>
      <c r="D193" s="5"/>
      <c r="E193" s="5"/>
      <c r="F193" s="79"/>
      <c r="G193" s="80"/>
      <c r="H193" s="80"/>
      <c r="I193" s="81"/>
      <c r="J193" s="16"/>
      <c r="K193" s="5"/>
      <c r="L193" s="5"/>
      <c r="M193" s="64"/>
      <c r="N193" s="65"/>
      <c r="O193" s="66"/>
      <c r="P193" s="17"/>
      <c r="Q193" s="50"/>
      <c r="R193" s="6"/>
      <c r="S193" s="58"/>
      <c r="T193" s="63" t="str">
        <f t="shared" ca="1" si="25"/>
        <v/>
      </c>
      <c r="U193" s="3" t="str">
        <f t="shared" ca="1" si="19"/>
        <v/>
      </c>
      <c r="V193" s="3" t="str">
        <f t="shared" ca="1" si="20"/>
        <v/>
      </c>
      <c r="W193" s="1" t="str">
        <f t="shared" ca="1" si="21"/>
        <v/>
      </c>
      <c r="X193" s="1" t="str">
        <f t="shared" ca="1" si="22"/>
        <v/>
      </c>
      <c r="Y193" s="3" t="str">
        <f t="shared" ca="1" si="26"/>
        <v/>
      </c>
    </row>
    <row r="194" spans="1:25" s="3" customFormat="1" x14ac:dyDescent="0.4">
      <c r="A194" s="34" t="str">
        <f t="shared" si="24"/>
        <v/>
      </c>
      <c r="B194" s="15"/>
      <c r="C194" s="16"/>
      <c r="D194" s="5"/>
      <c r="E194" s="5"/>
      <c r="F194" s="79"/>
      <c r="G194" s="80"/>
      <c r="H194" s="80"/>
      <c r="I194" s="81"/>
      <c r="J194" s="16"/>
      <c r="K194" s="5"/>
      <c r="L194" s="5"/>
      <c r="M194" s="64"/>
      <c r="N194" s="65"/>
      <c r="O194" s="66"/>
      <c r="P194" s="17"/>
      <c r="Q194" s="50"/>
      <c r="R194" s="6"/>
      <c r="S194" s="58"/>
      <c r="T194" s="63" t="str">
        <f t="shared" ca="1" si="25"/>
        <v/>
      </c>
      <c r="U194" s="3" t="str">
        <f t="shared" ca="1" si="19"/>
        <v/>
      </c>
      <c r="V194" s="3" t="str">
        <f t="shared" ca="1" si="20"/>
        <v/>
      </c>
      <c r="W194" s="1" t="str">
        <f t="shared" ca="1" si="21"/>
        <v/>
      </c>
      <c r="X194" s="1" t="str">
        <f t="shared" ca="1" si="22"/>
        <v/>
      </c>
      <c r="Y194" s="3" t="str">
        <f t="shared" ca="1" si="26"/>
        <v/>
      </c>
    </row>
    <row r="195" spans="1:25" s="3" customFormat="1" x14ac:dyDescent="0.4">
      <c r="A195" s="34" t="str">
        <f t="shared" si="24"/>
        <v/>
      </c>
      <c r="B195" s="15"/>
      <c r="C195" s="16"/>
      <c r="D195" s="5"/>
      <c r="E195" s="5"/>
      <c r="F195" s="79"/>
      <c r="G195" s="80"/>
      <c r="H195" s="80"/>
      <c r="I195" s="81"/>
      <c r="J195" s="16"/>
      <c r="K195" s="5"/>
      <c r="L195" s="5"/>
      <c r="M195" s="64"/>
      <c r="N195" s="65"/>
      <c r="O195" s="66"/>
      <c r="P195" s="17"/>
      <c r="Q195" s="50"/>
      <c r="R195" s="6"/>
      <c r="S195" s="58"/>
      <c r="T195" s="63" t="str">
        <f t="shared" ca="1" si="25"/>
        <v/>
      </c>
      <c r="U195" s="3" t="str">
        <f t="shared" ca="1" si="19"/>
        <v/>
      </c>
      <c r="V195" s="3" t="str">
        <f t="shared" ca="1" si="20"/>
        <v/>
      </c>
      <c r="W195" s="1" t="str">
        <f t="shared" ca="1" si="21"/>
        <v/>
      </c>
      <c r="X195" s="1" t="str">
        <f t="shared" ca="1" si="22"/>
        <v/>
      </c>
      <c r="Y195" s="3" t="str">
        <f t="shared" ca="1" si="26"/>
        <v/>
      </c>
    </row>
    <row r="196" spans="1:25" s="3" customFormat="1" x14ac:dyDescent="0.4">
      <c r="A196" s="34" t="str">
        <f t="shared" si="24"/>
        <v/>
      </c>
      <c r="B196" s="15"/>
      <c r="C196" s="16"/>
      <c r="D196" s="5"/>
      <c r="E196" s="5"/>
      <c r="F196" s="79"/>
      <c r="G196" s="80"/>
      <c r="H196" s="80"/>
      <c r="I196" s="81"/>
      <c r="J196" s="16"/>
      <c r="K196" s="5"/>
      <c r="L196" s="5"/>
      <c r="M196" s="64"/>
      <c r="N196" s="65"/>
      <c r="O196" s="66"/>
      <c r="P196" s="17"/>
      <c r="Q196" s="50"/>
      <c r="R196" s="6"/>
      <c r="S196" s="58"/>
      <c r="T196" s="63" t="str">
        <f t="shared" ca="1" si="25"/>
        <v/>
      </c>
      <c r="U196" s="3" t="str">
        <f t="shared" ca="1" si="19"/>
        <v/>
      </c>
      <c r="V196" s="3" t="str">
        <f t="shared" ca="1" si="20"/>
        <v/>
      </c>
      <c r="W196" s="1" t="str">
        <f t="shared" ca="1" si="21"/>
        <v/>
      </c>
      <c r="X196" s="1" t="str">
        <f t="shared" ca="1" si="22"/>
        <v/>
      </c>
      <c r="Y196" s="3" t="str">
        <f t="shared" ca="1" si="26"/>
        <v/>
      </c>
    </row>
    <row r="197" spans="1:25" s="3" customFormat="1" x14ac:dyDescent="0.4">
      <c r="A197" s="34" t="str">
        <f t="shared" si="24"/>
        <v/>
      </c>
      <c r="B197" s="15"/>
      <c r="C197" s="16"/>
      <c r="D197" s="5"/>
      <c r="E197" s="5"/>
      <c r="F197" s="79"/>
      <c r="G197" s="80"/>
      <c r="H197" s="80"/>
      <c r="I197" s="81"/>
      <c r="J197" s="16"/>
      <c r="K197" s="5"/>
      <c r="L197" s="5"/>
      <c r="M197" s="64"/>
      <c r="N197" s="65"/>
      <c r="O197" s="66"/>
      <c r="P197" s="17"/>
      <c r="Q197" s="50"/>
      <c r="R197" s="6"/>
      <c r="S197" s="58"/>
      <c r="T197" s="63" t="str">
        <f t="shared" ref="T197:T204" ca="1" si="27">IF(ISNA(VLOOKUP(E197,地址類別Mapping,2,FALSE)),"",VLOOKUP(E197,地址類別Mapping,2,FALSE))</f>
        <v/>
      </c>
      <c r="U197" s="3" t="str">
        <f t="shared" ref="U197:U204" ca="1" si="28">IF(ISNA(VLOOKUP(F197&amp;"-"&amp;G197,郵遞區號,2,FALSE)),"",VLOOKUP(F197&amp;"-"&amp;G197,郵遞區號,2,FALSE))</f>
        <v/>
      </c>
      <c r="V197" s="3" t="str">
        <f t="shared" ref="V197:V202" ca="1" si="29">IF(ISNA(VLOOKUP(M197&amp;"-"&amp;N197,郵遞區號,2,FALSE)),"",VLOOKUP(M197&amp;"-"&amp;N197,郵遞區號,2,FALSE))</f>
        <v/>
      </c>
      <c r="W197" s="1" t="str">
        <f t="shared" ref="W197:W204" ca="1" si="30">IF(ISNA(VLOOKUP(B197,郵件種類MAPPING,2,FALSE)),"",VLOOKUP(B197,郵件種類MAPPING,2,FALSE))</f>
        <v/>
      </c>
      <c r="X197" s="1" t="str">
        <f t="shared" ref="X197:X204" ca="1" si="31">IF(ISNA(VLOOKUP(R197,箱袋種類Mapping,2,FALSE)),"",VLOOKUP(R197,箱袋種類Mapping,2,FALSE))</f>
        <v/>
      </c>
      <c r="Y197" s="3" t="str">
        <f t="shared" ref="Y197:Y204" ca="1" si="32">IF(ISNA(VLOOKUP(B197,郵件種類MAPPING,2,FALSE)),"","203")</f>
        <v/>
      </c>
    </row>
    <row r="198" spans="1:25" s="3" customFormat="1" x14ac:dyDescent="0.4">
      <c r="A198" s="34" t="str">
        <f t="shared" ref="A198:A204" si="33">IF(NOT(COUNTA(B198:I198)),"",ROW()-4)</f>
        <v/>
      </c>
      <c r="B198" s="15"/>
      <c r="C198" s="16"/>
      <c r="D198" s="5"/>
      <c r="E198" s="5"/>
      <c r="F198" s="79"/>
      <c r="G198" s="80"/>
      <c r="H198" s="80"/>
      <c r="I198" s="81"/>
      <c r="J198" s="16"/>
      <c r="K198" s="5"/>
      <c r="L198" s="5"/>
      <c r="M198" s="64"/>
      <c r="N198" s="65"/>
      <c r="O198" s="66"/>
      <c r="P198" s="17"/>
      <c r="Q198" s="50"/>
      <c r="R198" s="6"/>
      <c r="S198" s="58"/>
      <c r="T198" s="63" t="str">
        <f t="shared" ca="1" si="27"/>
        <v/>
      </c>
      <c r="U198" s="3" t="str">
        <f t="shared" ca="1" si="28"/>
        <v/>
      </c>
      <c r="V198" s="3" t="str">
        <f t="shared" ca="1" si="29"/>
        <v/>
      </c>
      <c r="W198" s="1" t="str">
        <f t="shared" ca="1" si="30"/>
        <v/>
      </c>
      <c r="X198" s="1" t="str">
        <f t="shared" ca="1" si="31"/>
        <v/>
      </c>
      <c r="Y198" s="3" t="str">
        <f t="shared" ca="1" si="32"/>
        <v/>
      </c>
    </row>
    <row r="199" spans="1:25" s="3" customFormat="1" x14ac:dyDescent="0.4">
      <c r="A199" s="34" t="str">
        <f t="shared" si="33"/>
        <v/>
      </c>
      <c r="B199" s="15"/>
      <c r="C199" s="16"/>
      <c r="D199" s="5"/>
      <c r="E199" s="5"/>
      <c r="F199" s="79"/>
      <c r="G199" s="80"/>
      <c r="H199" s="80"/>
      <c r="I199" s="81"/>
      <c r="J199" s="16"/>
      <c r="K199" s="5"/>
      <c r="L199" s="5"/>
      <c r="M199" s="64"/>
      <c r="N199" s="65"/>
      <c r="O199" s="66"/>
      <c r="P199" s="17"/>
      <c r="Q199" s="50"/>
      <c r="R199" s="6"/>
      <c r="S199" s="58"/>
      <c r="T199" s="63" t="str">
        <f t="shared" ca="1" si="27"/>
        <v/>
      </c>
      <c r="U199" s="3" t="str">
        <f t="shared" ca="1" si="28"/>
        <v/>
      </c>
      <c r="V199" s="3" t="str">
        <f t="shared" ca="1" si="29"/>
        <v/>
      </c>
      <c r="W199" s="1" t="str">
        <f t="shared" ca="1" si="30"/>
        <v/>
      </c>
      <c r="X199" s="1" t="str">
        <f t="shared" ca="1" si="31"/>
        <v/>
      </c>
      <c r="Y199" s="3" t="str">
        <f t="shared" ca="1" si="32"/>
        <v/>
      </c>
    </row>
    <row r="200" spans="1:25" s="3" customFormat="1" x14ac:dyDescent="0.4">
      <c r="A200" s="34" t="str">
        <f t="shared" si="33"/>
        <v/>
      </c>
      <c r="B200" s="15"/>
      <c r="C200" s="16"/>
      <c r="D200" s="5"/>
      <c r="E200" s="5"/>
      <c r="F200" s="79"/>
      <c r="G200" s="80"/>
      <c r="H200" s="80"/>
      <c r="I200" s="81"/>
      <c r="J200" s="16"/>
      <c r="K200" s="5"/>
      <c r="L200" s="5"/>
      <c r="M200" s="64"/>
      <c r="N200" s="65"/>
      <c r="O200" s="66"/>
      <c r="P200" s="17"/>
      <c r="Q200" s="50"/>
      <c r="R200" s="6"/>
      <c r="S200" s="58"/>
      <c r="T200" s="63" t="str">
        <f t="shared" ca="1" si="27"/>
        <v/>
      </c>
      <c r="U200" s="3" t="str">
        <f t="shared" ca="1" si="28"/>
        <v/>
      </c>
      <c r="V200" s="3" t="str">
        <f t="shared" ca="1" si="29"/>
        <v/>
      </c>
      <c r="W200" s="1" t="str">
        <f t="shared" ca="1" si="30"/>
        <v/>
      </c>
      <c r="X200" s="1" t="str">
        <f t="shared" ca="1" si="31"/>
        <v/>
      </c>
      <c r="Y200" s="3" t="str">
        <f t="shared" ca="1" si="32"/>
        <v/>
      </c>
    </row>
    <row r="201" spans="1:25" s="3" customFormat="1" x14ac:dyDescent="0.4">
      <c r="A201" s="34" t="str">
        <f t="shared" si="33"/>
        <v/>
      </c>
      <c r="B201" s="15"/>
      <c r="C201" s="16"/>
      <c r="D201" s="5"/>
      <c r="E201" s="5"/>
      <c r="F201" s="79"/>
      <c r="G201" s="80"/>
      <c r="H201" s="80"/>
      <c r="I201" s="81"/>
      <c r="J201" s="16"/>
      <c r="K201" s="5"/>
      <c r="L201" s="5"/>
      <c r="M201" s="64"/>
      <c r="N201" s="65"/>
      <c r="O201" s="66"/>
      <c r="P201" s="17"/>
      <c r="Q201" s="50"/>
      <c r="R201" s="6"/>
      <c r="S201" s="58"/>
      <c r="T201" s="63" t="str">
        <f t="shared" ca="1" si="27"/>
        <v/>
      </c>
      <c r="U201" s="3" t="str">
        <f t="shared" ca="1" si="28"/>
        <v/>
      </c>
      <c r="V201" s="3" t="str">
        <f t="shared" ca="1" si="29"/>
        <v/>
      </c>
      <c r="W201" s="1" t="str">
        <f t="shared" ca="1" si="30"/>
        <v/>
      </c>
      <c r="X201" s="1" t="str">
        <f t="shared" ca="1" si="31"/>
        <v/>
      </c>
      <c r="Y201" s="3" t="str">
        <f t="shared" ca="1" si="32"/>
        <v/>
      </c>
    </row>
    <row r="202" spans="1:25" s="3" customFormat="1" x14ac:dyDescent="0.4">
      <c r="A202" s="34" t="str">
        <f t="shared" si="33"/>
        <v/>
      </c>
      <c r="B202" s="15"/>
      <c r="C202" s="16"/>
      <c r="D202" s="5"/>
      <c r="E202" s="5"/>
      <c r="F202" s="79"/>
      <c r="G202" s="80"/>
      <c r="H202" s="80"/>
      <c r="I202" s="81"/>
      <c r="J202" s="16"/>
      <c r="K202" s="5"/>
      <c r="L202" s="5"/>
      <c r="M202" s="64"/>
      <c r="N202" s="65"/>
      <c r="O202" s="66"/>
      <c r="P202" s="17"/>
      <c r="Q202" s="50"/>
      <c r="R202" s="6"/>
      <c r="S202" s="58"/>
      <c r="T202" s="63" t="str">
        <f t="shared" ca="1" si="27"/>
        <v/>
      </c>
      <c r="U202" s="3" t="str">
        <f t="shared" ca="1" si="28"/>
        <v/>
      </c>
      <c r="V202" s="3" t="str">
        <f t="shared" ca="1" si="29"/>
        <v/>
      </c>
      <c r="W202" s="1" t="str">
        <f t="shared" ca="1" si="30"/>
        <v/>
      </c>
      <c r="X202" s="1" t="str">
        <f t="shared" ca="1" si="31"/>
        <v/>
      </c>
      <c r="Y202" s="3" t="str">
        <f t="shared" ca="1" si="32"/>
        <v/>
      </c>
    </row>
    <row r="203" spans="1:25" s="3" customFormat="1" x14ac:dyDescent="0.4">
      <c r="A203" s="34" t="str">
        <f t="shared" si="33"/>
        <v/>
      </c>
      <c r="B203" s="15"/>
      <c r="C203" s="16"/>
      <c r="D203" s="5"/>
      <c r="E203" s="5"/>
      <c r="F203" s="79"/>
      <c r="G203" s="80"/>
      <c r="H203" s="80"/>
      <c r="I203" s="81"/>
      <c r="J203" s="16"/>
      <c r="K203" s="5"/>
      <c r="L203" s="5"/>
      <c r="M203" s="64"/>
      <c r="N203" s="65"/>
      <c r="O203" s="66"/>
      <c r="P203" s="17"/>
      <c r="Q203" s="50"/>
      <c r="R203" s="6"/>
      <c r="S203" s="58"/>
      <c r="T203" s="63" t="str">
        <f t="shared" ca="1" si="27"/>
        <v/>
      </c>
      <c r="U203" s="3" t="str">
        <f t="shared" ca="1" si="28"/>
        <v/>
      </c>
      <c r="V203" s="3" t="str">
        <f ca="1">IF(ISNA(VLOOKUP(M203&amp;"-"&amp;N203,郵遞區號,2,FALSE)),"",VLOOKUP(M203&amp;"-"&amp;N203,郵遞區號,2,FALSE))</f>
        <v/>
      </c>
      <c r="W203" s="1" t="str">
        <f t="shared" ca="1" si="30"/>
        <v/>
      </c>
      <c r="X203" s="1" t="str">
        <f t="shared" ca="1" si="31"/>
        <v/>
      </c>
      <c r="Y203" s="3" t="str">
        <f t="shared" ca="1" si="32"/>
        <v/>
      </c>
    </row>
    <row r="204" spans="1:25" s="3" customFormat="1" ht="17.5" thickBot="1" x14ac:dyDescent="0.45">
      <c r="A204" s="34" t="str">
        <f t="shared" si="33"/>
        <v/>
      </c>
      <c r="B204" s="35"/>
      <c r="C204" s="18"/>
      <c r="D204" s="19"/>
      <c r="E204" s="19"/>
      <c r="F204" s="82"/>
      <c r="G204" s="83"/>
      <c r="H204" s="83"/>
      <c r="I204" s="84"/>
      <c r="J204" s="18"/>
      <c r="K204" s="19"/>
      <c r="L204" s="19"/>
      <c r="M204" s="67"/>
      <c r="N204" s="68"/>
      <c r="O204" s="69"/>
      <c r="P204" s="20"/>
      <c r="Q204" s="51"/>
      <c r="R204" s="36"/>
      <c r="S204" s="56"/>
      <c r="T204" s="63" t="str">
        <f t="shared" ca="1" si="27"/>
        <v/>
      </c>
      <c r="U204" s="3" t="str">
        <f t="shared" ca="1" si="28"/>
        <v/>
      </c>
      <c r="V204" s="3" t="str">
        <f ca="1">IF(ISNA(VLOOKUP(M204&amp;"-"&amp;N204,郵遞區號,2,FALSE)),"",VLOOKUP(M204&amp;"-"&amp;N204,郵遞區號,2,FALSE))</f>
        <v/>
      </c>
      <c r="W204" s="1" t="str">
        <f t="shared" ca="1" si="30"/>
        <v/>
      </c>
      <c r="X204" s="1" t="str">
        <f t="shared" ca="1" si="31"/>
        <v/>
      </c>
      <c r="Y204" s="3" t="str">
        <f t="shared" ca="1" si="32"/>
        <v/>
      </c>
    </row>
    <row r="205" spans="1:25" x14ac:dyDescent="0.4">
      <c r="T205" s="62"/>
    </row>
  </sheetData>
  <sheetProtection algorithmName="SHA-512" hashValue="vuLyaoVaVnkIGpjDShdoh2q/aUeqAfmy38W+Zj0fBmbZoNT0r0EJBbvJo9xJBHZT4x+Q83r6s0siSNPIDXhsNQ==" saltValue="dIVgETUy6IpZyAbDV4ANlw==" spinCount="100000" sheet="1" objects="1" scenarios="1"/>
  <mergeCells count="405">
    <mergeCell ref="M202:O202"/>
    <mergeCell ref="M196:O196"/>
    <mergeCell ref="M197:O197"/>
    <mergeCell ref="M198:O198"/>
    <mergeCell ref="M199:O199"/>
    <mergeCell ref="M200:O200"/>
    <mergeCell ref="F1:I1"/>
    <mergeCell ref="M1:O1"/>
    <mergeCell ref="M201:O201"/>
    <mergeCell ref="M192:O192"/>
    <mergeCell ref="M193:O193"/>
    <mergeCell ref="M194:O194"/>
    <mergeCell ref="M195:O195"/>
    <mergeCell ref="M186:O186"/>
    <mergeCell ref="M187:O187"/>
    <mergeCell ref="M188:O188"/>
    <mergeCell ref="M175:O175"/>
    <mergeCell ref="M176:O176"/>
    <mergeCell ref="M177:O177"/>
    <mergeCell ref="M178:O178"/>
    <mergeCell ref="M179:O179"/>
    <mergeCell ref="M189:O189"/>
    <mergeCell ref="M190:O190"/>
    <mergeCell ref="M191:O191"/>
    <mergeCell ref="M180:O180"/>
    <mergeCell ref="M181:O181"/>
    <mergeCell ref="M182:O182"/>
    <mergeCell ref="M183:O183"/>
    <mergeCell ref="M184:O184"/>
    <mergeCell ref="M185:O185"/>
    <mergeCell ref="M166:O166"/>
    <mergeCell ref="M167:O167"/>
    <mergeCell ref="M168:O168"/>
    <mergeCell ref="M169:O169"/>
    <mergeCell ref="M170:O170"/>
    <mergeCell ref="M171:O171"/>
    <mergeCell ref="M172:O172"/>
    <mergeCell ref="M173:O173"/>
    <mergeCell ref="M174:O174"/>
    <mergeCell ref="M157:O157"/>
    <mergeCell ref="M158:O158"/>
    <mergeCell ref="M159:O159"/>
    <mergeCell ref="M160:O160"/>
    <mergeCell ref="M161:O161"/>
    <mergeCell ref="M162:O162"/>
    <mergeCell ref="M163:O163"/>
    <mergeCell ref="M164:O164"/>
    <mergeCell ref="M165:O165"/>
    <mergeCell ref="M148:O148"/>
    <mergeCell ref="M149:O149"/>
    <mergeCell ref="M150:O150"/>
    <mergeCell ref="M151:O151"/>
    <mergeCell ref="M152:O152"/>
    <mergeCell ref="M153:O153"/>
    <mergeCell ref="M154:O154"/>
    <mergeCell ref="M155:O155"/>
    <mergeCell ref="M156:O156"/>
    <mergeCell ref="M139:O139"/>
    <mergeCell ref="M140:O140"/>
    <mergeCell ref="M141:O141"/>
    <mergeCell ref="M142:O142"/>
    <mergeCell ref="M143:O143"/>
    <mergeCell ref="M144:O144"/>
    <mergeCell ref="M145:O145"/>
    <mergeCell ref="M146:O146"/>
    <mergeCell ref="M147:O147"/>
    <mergeCell ref="M130:O130"/>
    <mergeCell ref="M131:O131"/>
    <mergeCell ref="M132:O132"/>
    <mergeCell ref="M133:O133"/>
    <mergeCell ref="M134:O134"/>
    <mergeCell ref="M135:O135"/>
    <mergeCell ref="M136:O136"/>
    <mergeCell ref="M137:O137"/>
    <mergeCell ref="M138:O138"/>
    <mergeCell ref="M121:O121"/>
    <mergeCell ref="M122:O122"/>
    <mergeCell ref="M123:O123"/>
    <mergeCell ref="M124:O124"/>
    <mergeCell ref="M125:O125"/>
    <mergeCell ref="M126:O126"/>
    <mergeCell ref="M127:O127"/>
    <mergeCell ref="M128:O128"/>
    <mergeCell ref="M129:O129"/>
    <mergeCell ref="M112:O112"/>
    <mergeCell ref="M113:O113"/>
    <mergeCell ref="M114:O114"/>
    <mergeCell ref="M115:O115"/>
    <mergeCell ref="M116:O116"/>
    <mergeCell ref="M117:O117"/>
    <mergeCell ref="M118:O118"/>
    <mergeCell ref="M119:O119"/>
    <mergeCell ref="M120:O120"/>
    <mergeCell ref="M103:O103"/>
    <mergeCell ref="M104:O104"/>
    <mergeCell ref="M105:O105"/>
    <mergeCell ref="M106:O106"/>
    <mergeCell ref="M107:O107"/>
    <mergeCell ref="M108:O108"/>
    <mergeCell ref="M109:O109"/>
    <mergeCell ref="M110:O110"/>
    <mergeCell ref="M111:O111"/>
    <mergeCell ref="M94:O94"/>
    <mergeCell ref="M95:O95"/>
    <mergeCell ref="M96:O96"/>
    <mergeCell ref="M97:O97"/>
    <mergeCell ref="M98:O98"/>
    <mergeCell ref="M99:O99"/>
    <mergeCell ref="M100:O100"/>
    <mergeCell ref="M101:O101"/>
    <mergeCell ref="M102:O102"/>
    <mergeCell ref="M85:O85"/>
    <mergeCell ref="M86:O86"/>
    <mergeCell ref="M87:O87"/>
    <mergeCell ref="M88:O88"/>
    <mergeCell ref="M89:O89"/>
    <mergeCell ref="M90:O90"/>
    <mergeCell ref="M91:O91"/>
    <mergeCell ref="M92:O92"/>
    <mergeCell ref="M93:O93"/>
    <mergeCell ref="M76:O76"/>
    <mergeCell ref="M77:O77"/>
    <mergeCell ref="M78:O78"/>
    <mergeCell ref="M79:O79"/>
    <mergeCell ref="M80:O80"/>
    <mergeCell ref="M81:O81"/>
    <mergeCell ref="M82:O82"/>
    <mergeCell ref="M83:O83"/>
    <mergeCell ref="M84:O84"/>
    <mergeCell ref="M67:O67"/>
    <mergeCell ref="M68:O68"/>
    <mergeCell ref="M69:O69"/>
    <mergeCell ref="M70:O70"/>
    <mergeCell ref="M71:O71"/>
    <mergeCell ref="M72:O72"/>
    <mergeCell ref="M73:O73"/>
    <mergeCell ref="M74:O74"/>
    <mergeCell ref="M75:O75"/>
    <mergeCell ref="M58:O58"/>
    <mergeCell ref="M59:O59"/>
    <mergeCell ref="M60:O60"/>
    <mergeCell ref="M61:O61"/>
    <mergeCell ref="M62:O62"/>
    <mergeCell ref="M63:O63"/>
    <mergeCell ref="M64:O64"/>
    <mergeCell ref="M65:O65"/>
    <mergeCell ref="M66:O66"/>
    <mergeCell ref="M49:O49"/>
    <mergeCell ref="M50:O50"/>
    <mergeCell ref="M51:O51"/>
    <mergeCell ref="M52:O52"/>
    <mergeCell ref="M53:O53"/>
    <mergeCell ref="M54:O54"/>
    <mergeCell ref="M55:O55"/>
    <mergeCell ref="M56:O56"/>
    <mergeCell ref="M57:O57"/>
    <mergeCell ref="M40:O40"/>
    <mergeCell ref="M41:O41"/>
    <mergeCell ref="M42:O42"/>
    <mergeCell ref="M43:O43"/>
    <mergeCell ref="M44:O44"/>
    <mergeCell ref="M45:O45"/>
    <mergeCell ref="M46:O46"/>
    <mergeCell ref="M47:O47"/>
    <mergeCell ref="M48:O48"/>
    <mergeCell ref="M31:O31"/>
    <mergeCell ref="M32:O32"/>
    <mergeCell ref="M33:O33"/>
    <mergeCell ref="M34:O34"/>
    <mergeCell ref="M35:O35"/>
    <mergeCell ref="M36:O36"/>
    <mergeCell ref="M37:O37"/>
    <mergeCell ref="M38:O38"/>
    <mergeCell ref="M39:O39"/>
    <mergeCell ref="M22:O22"/>
    <mergeCell ref="M23:O23"/>
    <mergeCell ref="M24:O24"/>
    <mergeCell ref="M25:O25"/>
    <mergeCell ref="M26:O26"/>
    <mergeCell ref="M27:O27"/>
    <mergeCell ref="M28:O28"/>
    <mergeCell ref="M29:O29"/>
    <mergeCell ref="M30:O30"/>
    <mergeCell ref="M13:O13"/>
    <mergeCell ref="M14:O14"/>
    <mergeCell ref="M15:O15"/>
    <mergeCell ref="M16:O16"/>
    <mergeCell ref="M17:O17"/>
    <mergeCell ref="M18:O18"/>
    <mergeCell ref="M19:O19"/>
    <mergeCell ref="M20:O20"/>
    <mergeCell ref="M21:O21"/>
    <mergeCell ref="M4:O4"/>
    <mergeCell ref="M5:O5"/>
    <mergeCell ref="M6:O6"/>
    <mergeCell ref="M7:O7"/>
    <mergeCell ref="M8:O8"/>
    <mergeCell ref="M9:O9"/>
    <mergeCell ref="M10:O10"/>
    <mergeCell ref="M11:O11"/>
    <mergeCell ref="M12:O12"/>
    <mergeCell ref="F196:I196"/>
    <mergeCell ref="F197:I197"/>
    <mergeCell ref="F198:I198"/>
    <mergeCell ref="F199:I199"/>
    <mergeCell ref="F200:I200"/>
    <mergeCell ref="F201:I201"/>
    <mergeCell ref="F202:I202"/>
    <mergeCell ref="F203:I203"/>
    <mergeCell ref="F204:I204"/>
    <mergeCell ref="F187:I187"/>
    <mergeCell ref="F188:I188"/>
    <mergeCell ref="F189:I189"/>
    <mergeCell ref="F190:I190"/>
    <mergeCell ref="F191:I191"/>
    <mergeCell ref="F192:I192"/>
    <mergeCell ref="F193:I193"/>
    <mergeCell ref="F194:I194"/>
    <mergeCell ref="F195:I195"/>
    <mergeCell ref="F178:I178"/>
    <mergeCell ref="F179:I179"/>
    <mergeCell ref="F180:I180"/>
    <mergeCell ref="F181:I181"/>
    <mergeCell ref="F182:I182"/>
    <mergeCell ref="F183:I183"/>
    <mergeCell ref="F184:I184"/>
    <mergeCell ref="F185:I185"/>
    <mergeCell ref="F186:I186"/>
    <mergeCell ref="F169:I169"/>
    <mergeCell ref="F170:I170"/>
    <mergeCell ref="F171:I171"/>
    <mergeCell ref="F172:I172"/>
    <mergeCell ref="F173:I173"/>
    <mergeCell ref="F174:I174"/>
    <mergeCell ref="F175:I175"/>
    <mergeCell ref="F176:I176"/>
    <mergeCell ref="F177:I177"/>
    <mergeCell ref="F160:I160"/>
    <mergeCell ref="F161:I161"/>
    <mergeCell ref="F162:I162"/>
    <mergeCell ref="F163:I163"/>
    <mergeCell ref="F164:I164"/>
    <mergeCell ref="F165:I165"/>
    <mergeCell ref="F166:I166"/>
    <mergeCell ref="F167:I167"/>
    <mergeCell ref="F168:I168"/>
    <mergeCell ref="F151:I151"/>
    <mergeCell ref="F152:I152"/>
    <mergeCell ref="F153:I153"/>
    <mergeCell ref="F154:I154"/>
    <mergeCell ref="F155:I155"/>
    <mergeCell ref="F156:I156"/>
    <mergeCell ref="F157:I157"/>
    <mergeCell ref="F158:I158"/>
    <mergeCell ref="F159:I159"/>
    <mergeCell ref="F142:I142"/>
    <mergeCell ref="F143:I143"/>
    <mergeCell ref="F144:I144"/>
    <mergeCell ref="F145:I145"/>
    <mergeCell ref="F146:I146"/>
    <mergeCell ref="F147:I147"/>
    <mergeCell ref="F148:I148"/>
    <mergeCell ref="F149:I149"/>
    <mergeCell ref="F150:I150"/>
    <mergeCell ref="F133:I133"/>
    <mergeCell ref="F134:I134"/>
    <mergeCell ref="F135:I135"/>
    <mergeCell ref="F136:I136"/>
    <mergeCell ref="F137:I137"/>
    <mergeCell ref="F138:I138"/>
    <mergeCell ref="F139:I139"/>
    <mergeCell ref="F140:I140"/>
    <mergeCell ref="F141:I141"/>
    <mergeCell ref="F124:I124"/>
    <mergeCell ref="F125:I125"/>
    <mergeCell ref="F126:I126"/>
    <mergeCell ref="F127:I127"/>
    <mergeCell ref="F128:I128"/>
    <mergeCell ref="F129:I129"/>
    <mergeCell ref="F130:I130"/>
    <mergeCell ref="F131:I131"/>
    <mergeCell ref="F132:I132"/>
    <mergeCell ref="F115:I115"/>
    <mergeCell ref="F116:I116"/>
    <mergeCell ref="F117:I117"/>
    <mergeCell ref="F118:I118"/>
    <mergeCell ref="F119:I119"/>
    <mergeCell ref="F120:I120"/>
    <mergeCell ref="F121:I121"/>
    <mergeCell ref="F122:I122"/>
    <mergeCell ref="F123:I123"/>
    <mergeCell ref="F106:I106"/>
    <mergeCell ref="F107:I107"/>
    <mergeCell ref="F108:I108"/>
    <mergeCell ref="F109:I109"/>
    <mergeCell ref="F110:I110"/>
    <mergeCell ref="F111:I111"/>
    <mergeCell ref="F112:I112"/>
    <mergeCell ref="F113:I113"/>
    <mergeCell ref="F114:I114"/>
    <mergeCell ref="F97:I97"/>
    <mergeCell ref="F98:I98"/>
    <mergeCell ref="F99:I99"/>
    <mergeCell ref="F100:I100"/>
    <mergeCell ref="F101:I101"/>
    <mergeCell ref="F102:I102"/>
    <mergeCell ref="F103:I103"/>
    <mergeCell ref="F104:I104"/>
    <mergeCell ref="F105:I105"/>
    <mergeCell ref="F88:I88"/>
    <mergeCell ref="F89:I89"/>
    <mergeCell ref="F90:I90"/>
    <mergeCell ref="F91:I91"/>
    <mergeCell ref="F92:I92"/>
    <mergeCell ref="F93:I93"/>
    <mergeCell ref="F94:I94"/>
    <mergeCell ref="F95:I95"/>
    <mergeCell ref="F96:I96"/>
    <mergeCell ref="F79:I79"/>
    <mergeCell ref="F80:I80"/>
    <mergeCell ref="F81:I81"/>
    <mergeCell ref="F82:I82"/>
    <mergeCell ref="F83:I83"/>
    <mergeCell ref="F84:I84"/>
    <mergeCell ref="F85:I85"/>
    <mergeCell ref="F86:I86"/>
    <mergeCell ref="F87:I87"/>
    <mergeCell ref="F70:I70"/>
    <mergeCell ref="F71:I71"/>
    <mergeCell ref="F72:I72"/>
    <mergeCell ref="F73:I73"/>
    <mergeCell ref="F74:I74"/>
    <mergeCell ref="F75:I75"/>
    <mergeCell ref="F76:I76"/>
    <mergeCell ref="F77:I77"/>
    <mergeCell ref="F78:I78"/>
    <mergeCell ref="F61:I61"/>
    <mergeCell ref="F62:I62"/>
    <mergeCell ref="F63:I63"/>
    <mergeCell ref="F64:I64"/>
    <mergeCell ref="F65:I65"/>
    <mergeCell ref="F66:I66"/>
    <mergeCell ref="F67:I67"/>
    <mergeCell ref="F68:I68"/>
    <mergeCell ref="F69:I69"/>
    <mergeCell ref="F52:I52"/>
    <mergeCell ref="F53:I53"/>
    <mergeCell ref="F54:I54"/>
    <mergeCell ref="F55:I55"/>
    <mergeCell ref="F56:I56"/>
    <mergeCell ref="F57:I57"/>
    <mergeCell ref="F58:I58"/>
    <mergeCell ref="F59:I59"/>
    <mergeCell ref="F60:I60"/>
    <mergeCell ref="F43:I43"/>
    <mergeCell ref="F44:I44"/>
    <mergeCell ref="F45:I45"/>
    <mergeCell ref="F46:I46"/>
    <mergeCell ref="F47:I47"/>
    <mergeCell ref="F48:I48"/>
    <mergeCell ref="F49:I49"/>
    <mergeCell ref="F50:I50"/>
    <mergeCell ref="F51:I51"/>
    <mergeCell ref="F34:I34"/>
    <mergeCell ref="F35:I35"/>
    <mergeCell ref="F36:I36"/>
    <mergeCell ref="F37:I37"/>
    <mergeCell ref="F38:I38"/>
    <mergeCell ref="F39:I39"/>
    <mergeCell ref="F40:I40"/>
    <mergeCell ref="F41:I41"/>
    <mergeCell ref="F42:I42"/>
    <mergeCell ref="F25:I25"/>
    <mergeCell ref="F26:I26"/>
    <mergeCell ref="F27:I27"/>
    <mergeCell ref="F28:I28"/>
    <mergeCell ref="F29:I29"/>
    <mergeCell ref="F30:I30"/>
    <mergeCell ref="F31:I31"/>
    <mergeCell ref="F32:I32"/>
    <mergeCell ref="F33:I33"/>
    <mergeCell ref="M203:O203"/>
    <mergeCell ref="M204:O204"/>
    <mergeCell ref="A2:S2"/>
    <mergeCell ref="F4:I4"/>
    <mergeCell ref="F5:I5"/>
    <mergeCell ref="F6:I6"/>
    <mergeCell ref="F7:I7"/>
    <mergeCell ref="F8:I8"/>
    <mergeCell ref="F9:I9"/>
    <mergeCell ref="F10:I10"/>
    <mergeCell ref="F11:I11"/>
    <mergeCell ref="F12:I12"/>
    <mergeCell ref="F13:I13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</mergeCells>
  <phoneticPr fontId="14" type="noConversion"/>
  <dataValidations count="5">
    <dataValidation type="list" allowBlank="1" showInputMessage="1" showErrorMessage="1" sqref="R5:R204" xr:uid="{01820557-BF80-486C-ACCB-A8472D67938F}">
      <formula1>箱袋種類</formula1>
    </dataValidation>
    <dataValidation type="list" allowBlank="1" showInputMessage="1" showErrorMessage="1" sqref="B5:B204" xr:uid="{832FD56C-1E71-4F7B-AEA1-ADE14F585CC6}">
      <formula1>郵件種類</formula1>
    </dataValidation>
    <dataValidation type="list" allowBlank="1" showInputMessage="1" showErrorMessage="1" sqref="E5:E204" xr:uid="{58FAD0F5-AD45-456A-8B1F-032EEE0FA054}">
      <formula1>地址類別</formula1>
    </dataValidation>
    <dataValidation type="whole" allowBlank="1" showInputMessage="1" showErrorMessage="1" sqref="S5:S204" xr:uid="{BDA25DA0-50C4-4EB1-B24D-453750172D3C}">
      <formula1>0</formula1>
      <formula2>50000</formula2>
    </dataValidation>
    <dataValidation type="list" allowBlank="1" showInputMessage="1" showErrorMessage="1" sqref="F204" xr:uid="{36000697-5D8D-4E79-9759-1D326CA8E4D5}">
      <formula1>縣市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5D32A-F94B-47CF-AD00-63E22BE777D4}">
  <dimension ref="A1:Z20"/>
  <sheetViews>
    <sheetView workbookViewId="0">
      <selection sqref="A1:L1"/>
    </sheetView>
  </sheetViews>
  <sheetFormatPr defaultRowHeight="17" x14ac:dyDescent="0.4"/>
  <sheetData>
    <row r="1" spans="1:26" ht="20.5" x14ac:dyDescent="0.4">
      <c r="A1" s="101" t="s">
        <v>898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N1" s="100" t="s">
        <v>899</v>
      </c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  <row r="2" spans="1:26" x14ac:dyDescent="0.4">
      <c r="A2" s="99" t="s">
        <v>900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N2" s="99" t="s">
        <v>900</v>
      </c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spans="1:26" x14ac:dyDescent="0.4">
      <c r="A3" s="102" t="s">
        <v>845</v>
      </c>
      <c r="B3" s="103"/>
      <c r="C3" s="112" t="s">
        <v>846</v>
      </c>
      <c r="D3" s="113"/>
      <c r="E3" s="113"/>
      <c r="F3" s="113"/>
      <c r="G3" s="113"/>
      <c r="H3" s="113"/>
      <c r="I3" s="113"/>
      <c r="J3" s="113"/>
      <c r="K3" s="113"/>
      <c r="L3" s="114"/>
      <c r="N3" s="102" t="s">
        <v>845</v>
      </c>
      <c r="O3" s="103"/>
      <c r="P3" s="107" t="s">
        <v>846</v>
      </c>
      <c r="Q3" s="108"/>
      <c r="R3" s="108"/>
      <c r="S3" s="108"/>
      <c r="T3" s="108"/>
      <c r="U3" s="108"/>
      <c r="V3" s="108"/>
      <c r="W3" s="108"/>
      <c r="X3" s="108"/>
      <c r="Y3" s="108"/>
      <c r="Z3" s="109"/>
    </row>
    <row r="4" spans="1:26" x14ac:dyDescent="0.4">
      <c r="A4" s="102"/>
      <c r="B4" s="104"/>
      <c r="C4" s="53" t="s">
        <v>847</v>
      </c>
      <c r="D4" s="53" t="s">
        <v>848</v>
      </c>
      <c r="E4" s="53" t="s">
        <v>849</v>
      </c>
      <c r="F4" s="53" t="s">
        <v>850</v>
      </c>
      <c r="G4" s="53" t="s">
        <v>851</v>
      </c>
      <c r="H4" s="53" t="s">
        <v>852</v>
      </c>
      <c r="I4" s="41" t="s">
        <v>853</v>
      </c>
      <c r="J4" s="115" t="s">
        <v>854</v>
      </c>
      <c r="K4" s="103"/>
      <c r="L4" s="103"/>
      <c r="N4" s="102"/>
      <c r="O4" s="104"/>
      <c r="P4" s="53" t="s">
        <v>901</v>
      </c>
      <c r="Q4" s="53" t="s">
        <v>902</v>
      </c>
      <c r="R4" s="53" t="s">
        <v>915</v>
      </c>
      <c r="S4" s="53" t="s">
        <v>916</v>
      </c>
      <c r="T4" s="53" t="s">
        <v>903</v>
      </c>
      <c r="U4" s="53" t="s">
        <v>917</v>
      </c>
      <c r="V4" s="41" t="s">
        <v>904</v>
      </c>
      <c r="W4" s="53" t="s">
        <v>918</v>
      </c>
      <c r="X4" s="53" t="s">
        <v>919</v>
      </c>
      <c r="Y4" s="41" t="s">
        <v>905</v>
      </c>
      <c r="Z4" s="110" t="s">
        <v>920</v>
      </c>
    </row>
    <row r="5" spans="1:26" ht="17.5" thickBot="1" x14ac:dyDescent="0.45">
      <c r="A5" s="105"/>
      <c r="B5" s="106"/>
      <c r="C5" s="54" t="s">
        <v>855</v>
      </c>
      <c r="D5" s="54" t="s">
        <v>855</v>
      </c>
      <c r="E5" s="54" t="s">
        <v>855</v>
      </c>
      <c r="F5" s="54" t="s">
        <v>855</v>
      </c>
      <c r="G5" s="54" t="s">
        <v>855</v>
      </c>
      <c r="H5" s="54" t="s">
        <v>855</v>
      </c>
      <c r="I5" s="54" t="s">
        <v>855</v>
      </c>
      <c r="J5" s="115"/>
      <c r="K5" s="103"/>
      <c r="L5" s="103"/>
      <c r="N5" s="105"/>
      <c r="O5" s="106"/>
      <c r="P5" s="54" t="s">
        <v>855</v>
      </c>
      <c r="Q5" s="54" t="s">
        <v>855</v>
      </c>
      <c r="R5" s="54" t="s">
        <v>855</v>
      </c>
      <c r="S5" s="54" t="s">
        <v>855</v>
      </c>
      <c r="T5" s="54" t="s">
        <v>855</v>
      </c>
      <c r="U5" s="54" t="s">
        <v>855</v>
      </c>
      <c r="V5" s="54" t="s">
        <v>855</v>
      </c>
      <c r="W5" s="54" t="s">
        <v>855</v>
      </c>
      <c r="X5" s="54" t="s">
        <v>855</v>
      </c>
      <c r="Y5" s="54" t="s">
        <v>855</v>
      </c>
      <c r="Z5" s="111"/>
    </row>
    <row r="6" spans="1:26" ht="17.5" thickBot="1" x14ac:dyDescent="0.45">
      <c r="A6" s="92" t="s">
        <v>906</v>
      </c>
      <c r="B6" s="42" t="s">
        <v>856</v>
      </c>
      <c r="C6" s="43">
        <v>28</v>
      </c>
      <c r="D6" s="43">
        <v>36</v>
      </c>
      <c r="E6" s="43">
        <v>44</v>
      </c>
      <c r="F6" s="43">
        <v>60</v>
      </c>
      <c r="G6" s="43">
        <v>92</v>
      </c>
      <c r="H6" s="43">
        <v>132</v>
      </c>
      <c r="I6" s="43">
        <v>180</v>
      </c>
      <c r="J6" s="93" t="s">
        <v>907</v>
      </c>
      <c r="K6" s="94"/>
      <c r="L6" s="94"/>
      <c r="N6" s="92" t="s">
        <v>908</v>
      </c>
      <c r="O6" s="42" t="s">
        <v>856</v>
      </c>
      <c r="P6" s="43">
        <v>32</v>
      </c>
      <c r="Q6" s="43">
        <v>44</v>
      </c>
      <c r="R6" s="43">
        <v>56</v>
      </c>
      <c r="S6" s="43">
        <v>68</v>
      </c>
      <c r="T6" s="43">
        <v>80</v>
      </c>
      <c r="U6" s="43">
        <v>92</v>
      </c>
      <c r="V6" s="43">
        <v>104</v>
      </c>
      <c r="W6" s="43">
        <v>116</v>
      </c>
      <c r="X6" s="43">
        <v>128</v>
      </c>
      <c r="Y6" s="43">
        <v>140</v>
      </c>
      <c r="Z6" s="95" t="s">
        <v>909</v>
      </c>
    </row>
    <row r="7" spans="1:26" ht="17.5" thickBot="1" x14ac:dyDescent="0.45">
      <c r="A7" s="92"/>
      <c r="B7" s="42" t="s">
        <v>857</v>
      </c>
      <c r="C7" s="44">
        <v>35</v>
      </c>
      <c r="D7" s="44">
        <v>43</v>
      </c>
      <c r="E7" s="44">
        <v>51</v>
      </c>
      <c r="F7" s="44">
        <v>67</v>
      </c>
      <c r="G7" s="44">
        <v>99</v>
      </c>
      <c r="H7" s="44">
        <v>139</v>
      </c>
      <c r="I7" s="44">
        <v>187</v>
      </c>
      <c r="J7" s="93"/>
      <c r="K7" s="94"/>
      <c r="L7" s="94"/>
      <c r="N7" s="92"/>
      <c r="O7" s="42" t="s">
        <v>857</v>
      </c>
      <c r="P7" s="44">
        <v>39</v>
      </c>
      <c r="Q7" s="44">
        <v>51</v>
      </c>
      <c r="R7" s="44">
        <v>63</v>
      </c>
      <c r="S7" s="44">
        <v>75</v>
      </c>
      <c r="T7" s="44">
        <v>87</v>
      </c>
      <c r="U7" s="44">
        <v>99</v>
      </c>
      <c r="V7" s="44">
        <v>111</v>
      </c>
      <c r="W7" s="44">
        <v>123</v>
      </c>
      <c r="X7" s="44">
        <v>135</v>
      </c>
      <c r="Y7" s="44">
        <v>147</v>
      </c>
      <c r="Z7" s="96"/>
    </row>
    <row r="8" spans="1:26" x14ac:dyDescent="0.4">
      <c r="A8" s="97" t="s">
        <v>921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N8" s="98" t="s">
        <v>922</v>
      </c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</row>
    <row r="10" spans="1:26" ht="20.5" x14ac:dyDescent="0.4">
      <c r="A10" s="100" t="s">
        <v>923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N10" s="100" t="s">
        <v>910</v>
      </c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</row>
    <row r="11" spans="1:26" x14ac:dyDescent="0.4">
      <c r="A11" s="99" t="s">
        <v>911</v>
      </c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N11" s="99" t="s">
        <v>911</v>
      </c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9" spans="1:26" ht="20.5" x14ac:dyDescent="0.4">
      <c r="A19" s="100" t="s">
        <v>912</v>
      </c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N19" s="100" t="s">
        <v>913</v>
      </c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</row>
    <row r="20" spans="1:26" x14ac:dyDescent="0.4">
      <c r="N20" s="99" t="s">
        <v>914</v>
      </c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</sheetData>
  <sheetProtection password="DD67" sheet="1"/>
  <mergeCells count="23">
    <mergeCell ref="A1:L1"/>
    <mergeCell ref="N1:Z1"/>
    <mergeCell ref="N2:Z2"/>
    <mergeCell ref="N3:O5"/>
    <mergeCell ref="P3:Z3"/>
    <mergeCell ref="Z4:Z5"/>
    <mergeCell ref="A2:L2"/>
    <mergeCell ref="A3:B5"/>
    <mergeCell ref="C3:L3"/>
    <mergeCell ref="J4:L5"/>
    <mergeCell ref="N11:Z11"/>
    <mergeCell ref="N20:Z20"/>
    <mergeCell ref="N8:Z8"/>
    <mergeCell ref="A10:L10"/>
    <mergeCell ref="N10:Z10"/>
    <mergeCell ref="A11:L11"/>
    <mergeCell ref="A19:L19"/>
    <mergeCell ref="N19:Z19"/>
    <mergeCell ref="A6:A7"/>
    <mergeCell ref="J6:L7"/>
    <mergeCell ref="N6:N7"/>
    <mergeCell ref="Z6:Z7"/>
    <mergeCell ref="A8:L8"/>
  </mergeCells>
  <phoneticPr fontId="11" type="noConversion"/>
  <hyperlinks>
    <hyperlink ref="A1:G1" r:id="rId1" display="國內包裹資費表" xr:uid="{DA60FCEA-8EA2-42AF-9D71-2C7107F8D2A2}"/>
    <hyperlink ref="A1:L1" r:id="rId2" display="國內信函資費表" xr:uid="{421ECEA7-2F1B-4A1D-9FEE-BBEB5810E6CF}"/>
    <hyperlink ref="N1:Z1" r:id="rId3" display="國內小包資費表" xr:uid="{741AF120-A85A-4B2B-860A-42426B7D8460}"/>
    <hyperlink ref="A10:G10" r:id="rId4" display="郵局便利箱(袋)" xr:uid="{E06D5B56-4C7A-41A2-9611-414B3FAC2816}"/>
    <hyperlink ref="N10:Z10" r:id="rId5" display="郵局便利箱(袋)" xr:uid="{5664D460-67D9-4832-81AD-B1ED152AE2A6}"/>
    <hyperlink ref="N19:Z19" r:id="rId6" display="郵局便利包" xr:uid="{2CB8B5A1-66B2-45D6-BC3D-33C2410A9F14}"/>
    <hyperlink ref="A19:G19" r:id="rId7" display="其他函件業務說明(業務說明、郵遞時效)" xr:uid="{887DE918-1FA3-46FA-9357-167831C7EC87}"/>
  </hyperlinks>
  <pageMargins left="0.7" right="0.7" top="0.75" bottom="0.75" header="0.3" footer="0.3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C8ADD-538C-4996-A453-28F4E378131B}">
  <dimension ref="A1:B2"/>
  <sheetViews>
    <sheetView workbookViewId="0">
      <selection activeCell="A3" sqref="A3"/>
    </sheetView>
  </sheetViews>
  <sheetFormatPr defaultRowHeight="17" x14ac:dyDescent="0.4"/>
  <cols>
    <col min="1" max="1" width="9.453125" bestFit="1" customWidth="1"/>
  </cols>
  <sheetData>
    <row r="1" spans="1:2" x14ac:dyDescent="0.4">
      <c r="A1" t="s">
        <v>925</v>
      </c>
      <c r="B1" t="s">
        <v>932</v>
      </c>
    </row>
    <row r="2" spans="1:2" x14ac:dyDescent="0.4">
      <c r="A2">
        <v>20260401</v>
      </c>
      <c r="B2">
        <v>203</v>
      </c>
    </row>
  </sheetData>
  <sheetProtection algorithmName="SHA-512" hashValue="vKhO2FPvwXwpWAt2lO5A5o3nm/mKYiBUWMXi0IVYVo43fhyWgIFY1n5MuyZCR7NSJBE7LJv8K02JQ2LGc+541Q==" saltValue="FvxF+15OggGFnGcm7DeovA==" spinCount="100000" sheet="1" objects="1" scenarios="1"/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EAF45-AD49-44C0-B100-1CBDB8B8397F}">
  <dimension ref="A1:AO375"/>
  <sheetViews>
    <sheetView zoomScale="85" zoomScaleNormal="85" workbookViewId="0">
      <selection activeCell="J2" sqref="J2:K6"/>
    </sheetView>
  </sheetViews>
  <sheetFormatPr defaultRowHeight="17" x14ac:dyDescent="0.4"/>
  <cols>
    <col min="2" max="2" width="9" style="8" customWidth="1"/>
    <col min="4" max="4" width="11.36328125" customWidth="1"/>
    <col min="8" max="8" width="19.453125" customWidth="1"/>
    <col min="10" max="10" width="14.453125" customWidth="1"/>
    <col min="12" max="12" width="46" customWidth="1"/>
    <col min="15" max="15" width="16.6328125" customWidth="1"/>
  </cols>
  <sheetData>
    <row r="1" spans="1:41" x14ac:dyDescent="0.4">
      <c r="A1" t="s">
        <v>0</v>
      </c>
      <c r="C1" t="s">
        <v>2</v>
      </c>
      <c r="D1" t="s">
        <v>9</v>
      </c>
      <c r="F1" t="s">
        <v>417</v>
      </c>
      <c r="H1" t="s">
        <v>808</v>
      </c>
      <c r="J1" t="s">
        <v>822</v>
      </c>
      <c r="L1" t="s">
        <v>823</v>
      </c>
      <c r="N1" t="s">
        <v>408</v>
      </c>
      <c r="O1" t="s">
        <v>795</v>
      </c>
      <c r="R1" t="s">
        <v>28</v>
      </c>
      <c r="S1" t="s">
        <v>27</v>
      </c>
      <c r="T1" t="s">
        <v>29</v>
      </c>
      <c r="U1" t="s">
        <v>26</v>
      </c>
      <c r="V1" t="s">
        <v>31</v>
      </c>
      <c r="W1" t="s">
        <v>32</v>
      </c>
      <c r="X1" t="s">
        <v>30</v>
      </c>
      <c r="Y1" t="s">
        <v>33</v>
      </c>
      <c r="Z1" t="s">
        <v>34</v>
      </c>
      <c r="AA1" t="s">
        <v>36</v>
      </c>
      <c r="AB1" t="s">
        <v>35</v>
      </c>
      <c r="AC1" t="s">
        <v>38</v>
      </c>
      <c r="AD1" t="s">
        <v>39</v>
      </c>
      <c r="AE1" t="s">
        <v>37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</row>
    <row r="2" spans="1:41" x14ac:dyDescent="0.4">
      <c r="A2" t="s">
        <v>804</v>
      </c>
      <c r="B2" s="9">
        <v>1</v>
      </c>
      <c r="C2" t="s">
        <v>3</v>
      </c>
      <c r="D2" t="s">
        <v>10</v>
      </c>
      <c r="E2">
        <v>1</v>
      </c>
      <c r="F2" t="s">
        <v>414</v>
      </c>
      <c r="G2" s="9" t="s">
        <v>413</v>
      </c>
      <c r="H2" s="9" t="s">
        <v>809</v>
      </c>
      <c r="I2" s="9" t="s">
        <v>890</v>
      </c>
      <c r="J2" s="9" t="s">
        <v>813</v>
      </c>
      <c r="K2" s="9" t="s">
        <v>816</v>
      </c>
      <c r="L2" s="9" t="s">
        <v>858</v>
      </c>
      <c r="M2" s="9" t="s">
        <v>874</v>
      </c>
      <c r="N2" t="s">
        <v>26</v>
      </c>
      <c r="O2" t="s">
        <v>421</v>
      </c>
      <c r="P2">
        <v>100</v>
      </c>
      <c r="R2" t="s">
        <v>50</v>
      </c>
      <c r="S2" t="s">
        <v>62</v>
      </c>
      <c r="T2" t="s">
        <v>72</v>
      </c>
      <c r="U2" t="s">
        <v>99</v>
      </c>
      <c r="V2" t="s">
        <v>111</v>
      </c>
      <c r="W2" t="s">
        <v>113</v>
      </c>
      <c r="X2" t="s">
        <v>126</v>
      </c>
      <c r="Y2" t="s">
        <v>139</v>
      </c>
      <c r="Z2" t="s">
        <v>157</v>
      </c>
      <c r="AA2" t="s">
        <v>183</v>
      </c>
      <c r="AB2" t="s">
        <v>209</v>
      </c>
      <c r="AC2" t="s">
        <v>111</v>
      </c>
      <c r="AD2" t="s">
        <v>222</v>
      </c>
      <c r="AE2" t="s">
        <v>240</v>
      </c>
      <c r="AF2" t="s">
        <v>260</v>
      </c>
      <c r="AG2" t="s">
        <v>294</v>
      </c>
      <c r="AH2" t="s">
        <v>346</v>
      </c>
      <c r="AI2" t="s">
        <v>379</v>
      </c>
      <c r="AJ2" t="s">
        <v>395</v>
      </c>
      <c r="AK2" t="s">
        <v>334</v>
      </c>
      <c r="AL2" t="s">
        <v>340</v>
      </c>
      <c r="AM2" t="s">
        <v>68</v>
      </c>
      <c r="AN2" t="s">
        <v>48</v>
      </c>
      <c r="AO2" t="s">
        <v>307</v>
      </c>
    </row>
    <row r="3" spans="1:41" x14ac:dyDescent="0.4">
      <c r="A3" t="s">
        <v>17</v>
      </c>
      <c r="B3" s="9">
        <v>2</v>
      </c>
      <c r="C3" t="s">
        <v>4</v>
      </c>
      <c r="D3" t="s">
        <v>11</v>
      </c>
      <c r="E3">
        <v>2</v>
      </c>
      <c r="F3" t="s">
        <v>415</v>
      </c>
      <c r="G3" s="9" t="s">
        <v>24</v>
      </c>
      <c r="H3" s="9" t="s">
        <v>810</v>
      </c>
      <c r="I3" s="9" t="s">
        <v>891</v>
      </c>
      <c r="J3" s="9" t="s">
        <v>894</v>
      </c>
      <c r="K3" s="9" t="s">
        <v>817</v>
      </c>
      <c r="L3" s="9" t="s">
        <v>859</v>
      </c>
      <c r="M3" s="9" t="s">
        <v>875</v>
      </c>
      <c r="N3" t="s">
        <v>27</v>
      </c>
      <c r="O3" t="s">
        <v>422</v>
      </c>
      <c r="P3">
        <v>103</v>
      </c>
      <c r="R3" t="s">
        <v>51</v>
      </c>
      <c r="S3" t="s">
        <v>56</v>
      </c>
      <c r="T3" t="s">
        <v>73</v>
      </c>
      <c r="U3" t="s">
        <v>100</v>
      </c>
      <c r="V3" t="s">
        <v>112</v>
      </c>
      <c r="W3" t="s">
        <v>114</v>
      </c>
      <c r="X3" t="s">
        <v>127</v>
      </c>
      <c r="Y3" t="s">
        <v>140</v>
      </c>
      <c r="Z3" t="s">
        <v>111</v>
      </c>
      <c r="AA3" t="s">
        <v>184</v>
      </c>
      <c r="AB3" t="s">
        <v>210</v>
      </c>
      <c r="AC3" t="s">
        <v>159</v>
      </c>
      <c r="AD3" t="s">
        <v>223</v>
      </c>
      <c r="AE3" t="s">
        <v>241</v>
      </c>
      <c r="AF3" t="s">
        <v>111</v>
      </c>
      <c r="AG3" t="s">
        <v>295</v>
      </c>
      <c r="AH3" t="s">
        <v>347</v>
      </c>
      <c r="AI3" t="s">
        <v>380</v>
      </c>
      <c r="AJ3" t="s">
        <v>396</v>
      </c>
      <c r="AK3" t="s">
        <v>335</v>
      </c>
      <c r="AL3" t="s">
        <v>341</v>
      </c>
      <c r="AM3" t="s">
        <v>69</v>
      </c>
      <c r="AO3" t="s">
        <v>308</v>
      </c>
    </row>
    <row r="4" spans="1:41" x14ac:dyDescent="0.4">
      <c r="A4" t="s">
        <v>18</v>
      </c>
      <c r="B4" s="9">
        <v>3</v>
      </c>
      <c r="D4" t="s">
        <v>12</v>
      </c>
      <c r="E4">
        <v>3</v>
      </c>
      <c r="F4" t="s">
        <v>416</v>
      </c>
      <c r="G4" s="9" t="s">
        <v>25</v>
      </c>
      <c r="H4" s="9" t="s">
        <v>811</v>
      </c>
      <c r="I4" s="9" t="s">
        <v>892</v>
      </c>
      <c r="J4" s="9" t="s">
        <v>814</v>
      </c>
      <c r="K4" s="9" t="s">
        <v>818</v>
      </c>
      <c r="L4" s="9" t="s">
        <v>860</v>
      </c>
      <c r="M4" s="9" t="s">
        <v>876</v>
      </c>
      <c r="N4" t="s">
        <v>28</v>
      </c>
      <c r="O4" t="s">
        <v>423</v>
      </c>
      <c r="P4">
        <v>104</v>
      </c>
      <c r="R4" t="s">
        <v>52</v>
      </c>
      <c r="S4" t="s">
        <v>50</v>
      </c>
      <c r="T4" t="s">
        <v>74</v>
      </c>
      <c r="U4" t="s">
        <v>101</v>
      </c>
      <c r="V4" t="s">
        <v>897</v>
      </c>
      <c r="W4" t="s">
        <v>115</v>
      </c>
      <c r="X4" t="s">
        <v>128</v>
      </c>
      <c r="Y4" t="s">
        <v>141</v>
      </c>
      <c r="Z4" t="s">
        <v>158</v>
      </c>
      <c r="AA4" t="s">
        <v>185</v>
      </c>
      <c r="AB4" t="s">
        <v>211</v>
      </c>
      <c r="AD4" t="s">
        <v>224</v>
      </c>
      <c r="AE4" t="s">
        <v>242</v>
      </c>
      <c r="AF4" t="s">
        <v>158</v>
      </c>
      <c r="AG4" t="s">
        <v>296</v>
      </c>
      <c r="AH4" t="s">
        <v>348</v>
      </c>
      <c r="AI4" t="s">
        <v>381</v>
      </c>
      <c r="AJ4" t="s">
        <v>397</v>
      </c>
      <c r="AK4" t="s">
        <v>336</v>
      </c>
      <c r="AL4" t="s">
        <v>342</v>
      </c>
      <c r="AM4" t="s">
        <v>70</v>
      </c>
    </row>
    <row r="5" spans="1:41" x14ac:dyDescent="0.4">
      <c r="A5" t="s">
        <v>19</v>
      </c>
      <c r="B5" s="9">
        <v>4</v>
      </c>
      <c r="D5" t="s">
        <v>13</v>
      </c>
      <c r="E5">
        <v>4</v>
      </c>
      <c r="H5" s="9" t="s">
        <v>812</v>
      </c>
      <c r="I5" s="9" t="s">
        <v>893</v>
      </c>
      <c r="J5" s="9" t="s">
        <v>895</v>
      </c>
      <c r="K5" s="9" t="s">
        <v>819</v>
      </c>
      <c r="L5" s="9" t="s">
        <v>861</v>
      </c>
      <c r="M5" s="9" t="s">
        <v>877</v>
      </c>
      <c r="N5" t="s">
        <v>29</v>
      </c>
      <c r="O5" t="s">
        <v>424</v>
      </c>
      <c r="P5">
        <v>105</v>
      </c>
      <c r="R5" t="s">
        <v>53</v>
      </c>
      <c r="S5" t="s">
        <v>52</v>
      </c>
      <c r="T5" t="s">
        <v>75</v>
      </c>
      <c r="U5" t="s">
        <v>102</v>
      </c>
      <c r="W5" t="s">
        <v>116</v>
      </c>
      <c r="X5" t="s">
        <v>129</v>
      </c>
      <c r="Y5" t="s">
        <v>142</v>
      </c>
      <c r="Z5" t="s">
        <v>159</v>
      </c>
      <c r="AA5" t="s">
        <v>186</v>
      </c>
      <c r="AB5" t="s">
        <v>212</v>
      </c>
      <c r="AD5" t="s">
        <v>225</v>
      </c>
      <c r="AE5" t="s">
        <v>243</v>
      </c>
      <c r="AF5" t="s">
        <v>112</v>
      </c>
      <c r="AG5" t="s">
        <v>297</v>
      </c>
      <c r="AH5" t="s">
        <v>349</v>
      </c>
      <c r="AI5" t="s">
        <v>382</v>
      </c>
      <c r="AJ5" t="s">
        <v>398</v>
      </c>
      <c r="AK5" t="s">
        <v>337</v>
      </c>
      <c r="AL5" t="s">
        <v>343</v>
      </c>
      <c r="AM5" t="s">
        <v>71</v>
      </c>
    </row>
    <row r="6" spans="1:41" x14ac:dyDescent="0.4">
      <c r="A6" t="s">
        <v>16</v>
      </c>
      <c r="B6" s="9">
        <v>5</v>
      </c>
      <c r="D6" t="s">
        <v>14</v>
      </c>
      <c r="E6">
        <v>5</v>
      </c>
      <c r="H6" s="9"/>
      <c r="I6" s="9"/>
      <c r="J6" s="9" t="s">
        <v>815</v>
      </c>
      <c r="K6" s="9" t="s">
        <v>820</v>
      </c>
      <c r="L6" s="9" t="s">
        <v>862</v>
      </c>
      <c r="M6" s="9" t="s">
        <v>878</v>
      </c>
      <c r="N6" t="s">
        <v>30</v>
      </c>
      <c r="O6" t="s">
        <v>425</v>
      </c>
      <c r="P6">
        <v>106</v>
      </c>
      <c r="R6" t="s">
        <v>54</v>
      </c>
      <c r="S6" t="s">
        <v>63</v>
      </c>
      <c r="T6" t="s">
        <v>76</v>
      </c>
      <c r="U6" t="s">
        <v>103</v>
      </c>
      <c r="W6" t="s">
        <v>117</v>
      </c>
      <c r="X6" t="s">
        <v>130</v>
      </c>
      <c r="Y6" t="s">
        <v>143</v>
      </c>
      <c r="Z6" t="s">
        <v>112</v>
      </c>
      <c r="AA6" t="s">
        <v>187</v>
      </c>
      <c r="AB6" t="s">
        <v>213</v>
      </c>
      <c r="AD6" t="s">
        <v>226</v>
      </c>
      <c r="AE6" t="s">
        <v>244</v>
      </c>
      <c r="AF6" t="s">
        <v>261</v>
      </c>
      <c r="AG6" t="s">
        <v>298</v>
      </c>
      <c r="AH6" t="s">
        <v>350</v>
      </c>
      <c r="AI6" t="s">
        <v>383</v>
      </c>
      <c r="AJ6" t="s">
        <v>399</v>
      </c>
      <c r="AK6" t="s">
        <v>338</v>
      </c>
      <c r="AL6" t="s">
        <v>344</v>
      </c>
    </row>
    <row r="7" spans="1:41" x14ac:dyDescent="0.4">
      <c r="A7" t="s">
        <v>20</v>
      </c>
      <c r="B7" s="9">
        <v>6</v>
      </c>
      <c r="H7" s="9"/>
      <c r="I7" s="9"/>
      <c r="J7" s="9"/>
      <c r="K7" s="9"/>
      <c r="L7" s="14" t="s">
        <v>863</v>
      </c>
      <c r="M7" s="9" t="s">
        <v>879</v>
      </c>
      <c r="N7" t="s">
        <v>31</v>
      </c>
      <c r="O7" t="s">
        <v>426</v>
      </c>
      <c r="P7">
        <v>108</v>
      </c>
      <c r="R7" t="s">
        <v>55</v>
      </c>
      <c r="S7" t="s">
        <v>64</v>
      </c>
      <c r="T7" t="s">
        <v>77</v>
      </c>
      <c r="U7" t="s">
        <v>104</v>
      </c>
      <c r="W7" t="s">
        <v>118</v>
      </c>
      <c r="X7" t="s">
        <v>131</v>
      </c>
      <c r="Y7" t="s">
        <v>144</v>
      </c>
      <c r="Z7" t="s">
        <v>160</v>
      </c>
      <c r="AA7" t="s">
        <v>188</v>
      </c>
      <c r="AB7" t="s">
        <v>214</v>
      </c>
      <c r="AD7" t="s">
        <v>227</v>
      </c>
      <c r="AE7" t="s">
        <v>245</v>
      </c>
      <c r="AF7" t="s">
        <v>262</v>
      </c>
      <c r="AG7" t="s">
        <v>299</v>
      </c>
      <c r="AH7" t="s">
        <v>351</v>
      </c>
      <c r="AI7" t="s">
        <v>384</v>
      </c>
      <c r="AJ7" t="s">
        <v>400</v>
      </c>
      <c r="AK7" t="s">
        <v>339</v>
      </c>
      <c r="AL7" t="s">
        <v>345</v>
      </c>
    </row>
    <row r="8" spans="1:41" x14ac:dyDescent="0.4">
      <c r="A8" t="s">
        <v>21</v>
      </c>
      <c r="B8" s="9">
        <v>7</v>
      </c>
      <c r="L8" s="14" t="s">
        <v>864</v>
      </c>
      <c r="M8" s="9" t="s">
        <v>880</v>
      </c>
      <c r="N8" t="s">
        <v>32</v>
      </c>
      <c r="O8" t="s">
        <v>427</v>
      </c>
      <c r="P8">
        <v>110</v>
      </c>
      <c r="R8" t="s">
        <v>56</v>
      </c>
      <c r="S8" t="s">
        <v>65</v>
      </c>
      <c r="T8" t="s">
        <v>78</v>
      </c>
      <c r="U8" t="s">
        <v>105</v>
      </c>
      <c r="W8" t="s">
        <v>119</v>
      </c>
      <c r="X8" t="s">
        <v>132</v>
      </c>
      <c r="Y8" t="s">
        <v>145</v>
      </c>
      <c r="Z8" t="s">
        <v>161</v>
      </c>
      <c r="AA8" t="s">
        <v>189</v>
      </c>
      <c r="AB8" t="s">
        <v>215</v>
      </c>
      <c r="AD8" t="s">
        <v>228</v>
      </c>
      <c r="AE8" t="s">
        <v>246</v>
      </c>
      <c r="AF8" t="s">
        <v>263</v>
      </c>
      <c r="AG8" t="s">
        <v>300</v>
      </c>
      <c r="AH8" t="s">
        <v>352</v>
      </c>
      <c r="AI8" t="s">
        <v>385</v>
      </c>
      <c r="AJ8" t="s">
        <v>401</v>
      </c>
    </row>
    <row r="9" spans="1:41" ht="34" x14ac:dyDescent="0.4">
      <c r="A9" t="s">
        <v>22</v>
      </c>
      <c r="B9" s="9">
        <v>8</v>
      </c>
      <c r="L9" s="14" t="s">
        <v>865</v>
      </c>
      <c r="M9" s="9" t="s">
        <v>881</v>
      </c>
      <c r="N9" t="s">
        <v>33</v>
      </c>
      <c r="O9" t="s">
        <v>428</v>
      </c>
      <c r="P9">
        <v>111</v>
      </c>
      <c r="R9" t="s">
        <v>57</v>
      </c>
      <c r="T9" t="s">
        <v>79</v>
      </c>
      <c r="U9" t="s">
        <v>106</v>
      </c>
      <c r="W9" t="s">
        <v>120</v>
      </c>
      <c r="X9" t="s">
        <v>133</v>
      </c>
      <c r="Y9" t="s">
        <v>146</v>
      </c>
      <c r="Z9" t="s">
        <v>162</v>
      </c>
      <c r="AA9" t="s">
        <v>190</v>
      </c>
      <c r="AB9" t="s">
        <v>216</v>
      </c>
      <c r="AD9" t="s">
        <v>229</v>
      </c>
      <c r="AE9" t="s">
        <v>247</v>
      </c>
      <c r="AF9" t="s">
        <v>264</v>
      </c>
      <c r="AG9" t="s">
        <v>301</v>
      </c>
      <c r="AH9" t="s">
        <v>353</v>
      </c>
      <c r="AI9" t="s">
        <v>386</v>
      </c>
      <c r="AJ9" t="s">
        <v>402</v>
      </c>
    </row>
    <row r="10" spans="1:41" x14ac:dyDescent="0.4">
      <c r="A10" t="s">
        <v>23</v>
      </c>
      <c r="B10" s="10" t="s">
        <v>799</v>
      </c>
      <c r="L10" s="14" t="s">
        <v>866</v>
      </c>
      <c r="M10" s="9" t="s">
        <v>882</v>
      </c>
      <c r="N10" t="s">
        <v>34</v>
      </c>
      <c r="O10" t="s">
        <v>429</v>
      </c>
      <c r="P10">
        <v>112</v>
      </c>
      <c r="R10" t="s">
        <v>58</v>
      </c>
      <c r="T10" t="s">
        <v>80</v>
      </c>
      <c r="U10" t="s">
        <v>107</v>
      </c>
      <c r="W10" t="s">
        <v>121</v>
      </c>
      <c r="X10" t="s">
        <v>134</v>
      </c>
      <c r="Y10" t="s">
        <v>147</v>
      </c>
      <c r="Z10" t="s">
        <v>163</v>
      </c>
      <c r="AA10" t="s">
        <v>191</v>
      </c>
      <c r="AB10" t="s">
        <v>217</v>
      </c>
      <c r="AD10" t="s">
        <v>230</v>
      </c>
      <c r="AE10" t="s">
        <v>248</v>
      </c>
      <c r="AF10" t="s">
        <v>265</v>
      </c>
      <c r="AG10" t="s">
        <v>302</v>
      </c>
      <c r="AH10" t="s">
        <v>354</v>
      </c>
      <c r="AI10" t="s">
        <v>387</v>
      </c>
      <c r="AJ10" t="s">
        <v>403</v>
      </c>
    </row>
    <row r="11" spans="1:41" x14ac:dyDescent="0.4">
      <c r="A11" t="s">
        <v>801</v>
      </c>
      <c r="B11" s="8" t="s">
        <v>800</v>
      </c>
      <c r="L11" s="14" t="s">
        <v>867</v>
      </c>
      <c r="M11" s="9" t="s">
        <v>883</v>
      </c>
      <c r="N11" t="s">
        <v>35</v>
      </c>
      <c r="O11" t="s">
        <v>430</v>
      </c>
      <c r="P11">
        <v>114</v>
      </c>
      <c r="R11" t="s">
        <v>59</v>
      </c>
      <c r="T11" t="s">
        <v>81</v>
      </c>
      <c r="U11" t="s">
        <v>108</v>
      </c>
      <c r="W11" t="s">
        <v>122</v>
      </c>
      <c r="X11" t="s">
        <v>135</v>
      </c>
      <c r="Y11" t="s">
        <v>148</v>
      </c>
      <c r="Z11" t="s">
        <v>164</v>
      </c>
      <c r="AA11" t="s">
        <v>192</v>
      </c>
      <c r="AB11" t="s">
        <v>218</v>
      </c>
      <c r="AD11" t="s">
        <v>231</v>
      </c>
      <c r="AE11" t="s">
        <v>249</v>
      </c>
      <c r="AF11" t="s">
        <v>266</v>
      </c>
      <c r="AG11" t="s">
        <v>303</v>
      </c>
      <c r="AH11" t="s">
        <v>355</v>
      </c>
      <c r="AI11" t="s">
        <v>388</v>
      </c>
      <c r="AJ11" t="s">
        <v>404</v>
      </c>
    </row>
    <row r="12" spans="1:41" x14ac:dyDescent="0.4">
      <c r="L12" s="14" t="s">
        <v>868</v>
      </c>
      <c r="M12" s="9" t="s">
        <v>884</v>
      </c>
      <c r="N12" t="s">
        <v>36</v>
      </c>
      <c r="O12" t="s">
        <v>431</v>
      </c>
      <c r="P12">
        <v>115</v>
      </c>
      <c r="R12" t="s">
        <v>60</v>
      </c>
      <c r="T12" t="s">
        <v>82</v>
      </c>
      <c r="U12" t="s">
        <v>109</v>
      </c>
      <c r="W12" t="s">
        <v>123</v>
      </c>
      <c r="X12" t="s">
        <v>136</v>
      </c>
      <c r="Y12" t="s">
        <v>149</v>
      </c>
      <c r="Z12" t="s">
        <v>165</v>
      </c>
      <c r="AA12" t="s">
        <v>193</v>
      </c>
      <c r="AB12" t="s">
        <v>219</v>
      </c>
      <c r="AD12" t="s">
        <v>232</v>
      </c>
      <c r="AE12" t="s">
        <v>250</v>
      </c>
      <c r="AF12" t="s">
        <v>267</v>
      </c>
      <c r="AG12" t="s">
        <v>304</v>
      </c>
      <c r="AH12" t="s">
        <v>356</v>
      </c>
      <c r="AI12" t="s">
        <v>389</v>
      </c>
      <c r="AJ12" t="s">
        <v>405</v>
      </c>
    </row>
    <row r="13" spans="1:41" x14ac:dyDescent="0.4">
      <c r="L13" s="14" t="s">
        <v>869</v>
      </c>
      <c r="M13" s="9" t="s">
        <v>885</v>
      </c>
      <c r="N13" t="s">
        <v>37</v>
      </c>
      <c r="O13" t="s">
        <v>432</v>
      </c>
      <c r="P13">
        <v>116</v>
      </c>
      <c r="R13" t="s">
        <v>61</v>
      </c>
      <c r="T13" t="s">
        <v>83</v>
      </c>
      <c r="U13" t="s">
        <v>110</v>
      </c>
      <c r="W13" t="s">
        <v>124</v>
      </c>
      <c r="X13" t="s">
        <v>137</v>
      </c>
      <c r="Y13" t="s">
        <v>150</v>
      </c>
      <c r="Z13" t="s">
        <v>166</v>
      </c>
      <c r="AA13" t="s">
        <v>194</v>
      </c>
      <c r="AB13" t="s">
        <v>220</v>
      </c>
      <c r="AD13" t="s">
        <v>233</v>
      </c>
      <c r="AE13" t="s">
        <v>251</v>
      </c>
      <c r="AF13" t="s">
        <v>268</v>
      </c>
      <c r="AG13" t="s">
        <v>305</v>
      </c>
      <c r="AH13" t="s">
        <v>357</v>
      </c>
      <c r="AI13" t="s">
        <v>390</v>
      </c>
      <c r="AJ13" t="s">
        <v>406</v>
      </c>
    </row>
    <row r="14" spans="1:41" x14ac:dyDescent="0.4">
      <c r="L14" s="14" t="s">
        <v>870</v>
      </c>
      <c r="M14" s="9" t="s">
        <v>886</v>
      </c>
      <c r="N14" t="s">
        <v>38</v>
      </c>
      <c r="O14" t="s">
        <v>433</v>
      </c>
      <c r="P14">
        <v>200</v>
      </c>
      <c r="T14" t="s">
        <v>84</v>
      </c>
      <c r="U14" t="s">
        <v>48</v>
      </c>
      <c r="W14" t="s">
        <v>125</v>
      </c>
      <c r="X14" t="s">
        <v>138</v>
      </c>
      <c r="Y14" t="s">
        <v>151</v>
      </c>
      <c r="Z14" t="s">
        <v>167</v>
      </c>
      <c r="AA14" t="s">
        <v>195</v>
      </c>
      <c r="AB14" t="s">
        <v>221</v>
      </c>
      <c r="AD14" t="s">
        <v>234</v>
      </c>
      <c r="AE14" t="s">
        <v>252</v>
      </c>
      <c r="AF14" t="s">
        <v>269</v>
      </c>
      <c r="AG14" t="s">
        <v>306</v>
      </c>
      <c r="AH14" t="s">
        <v>358</v>
      </c>
      <c r="AI14" t="s">
        <v>391</v>
      </c>
      <c r="AJ14" t="s">
        <v>407</v>
      </c>
    </row>
    <row r="15" spans="1:41" ht="34" x14ac:dyDescent="0.4">
      <c r="L15" s="14" t="s">
        <v>871</v>
      </c>
      <c r="M15" s="9" t="s">
        <v>887</v>
      </c>
      <c r="N15" t="s">
        <v>39</v>
      </c>
      <c r="O15" t="s">
        <v>434</v>
      </c>
      <c r="P15">
        <v>201</v>
      </c>
      <c r="T15" t="s">
        <v>85</v>
      </c>
      <c r="Y15" t="s">
        <v>152</v>
      </c>
      <c r="Z15" t="s">
        <v>168</v>
      </c>
      <c r="AA15" t="s">
        <v>196</v>
      </c>
      <c r="AD15" t="s">
        <v>235</v>
      </c>
      <c r="AE15" t="s">
        <v>253</v>
      </c>
      <c r="AF15" t="s">
        <v>270</v>
      </c>
      <c r="AG15" t="s">
        <v>309</v>
      </c>
      <c r="AH15" t="s">
        <v>359</v>
      </c>
      <c r="AI15" t="s">
        <v>392</v>
      </c>
    </row>
    <row r="16" spans="1:41" x14ac:dyDescent="0.4">
      <c r="L16" s="14" t="s">
        <v>872</v>
      </c>
      <c r="M16" s="9" t="s">
        <v>888</v>
      </c>
      <c r="N16" t="s">
        <v>40</v>
      </c>
      <c r="O16" t="s">
        <v>435</v>
      </c>
      <c r="P16">
        <v>202</v>
      </c>
      <c r="T16" t="s">
        <v>86</v>
      </c>
      <c r="Y16" t="s">
        <v>153</v>
      </c>
      <c r="Z16" t="s">
        <v>169</v>
      </c>
      <c r="AA16" t="s">
        <v>197</v>
      </c>
      <c r="AD16" t="s">
        <v>236</v>
      </c>
      <c r="AE16" t="s">
        <v>254</v>
      </c>
      <c r="AF16" t="s">
        <v>271</v>
      </c>
      <c r="AG16" t="s">
        <v>310</v>
      </c>
      <c r="AH16" t="s">
        <v>360</v>
      </c>
      <c r="AI16" t="s">
        <v>393</v>
      </c>
    </row>
    <row r="17" spans="12:35" x14ac:dyDescent="0.4">
      <c r="L17" s="14" t="s">
        <v>873</v>
      </c>
      <c r="M17" s="9" t="s">
        <v>889</v>
      </c>
      <c r="N17" t="s">
        <v>41</v>
      </c>
      <c r="O17" t="s">
        <v>436</v>
      </c>
      <c r="P17">
        <v>203</v>
      </c>
      <c r="T17" t="s">
        <v>87</v>
      </c>
      <c r="Y17" t="s">
        <v>154</v>
      </c>
      <c r="Z17" t="s">
        <v>170</v>
      </c>
      <c r="AA17" t="s">
        <v>198</v>
      </c>
      <c r="AD17" t="s">
        <v>237</v>
      </c>
      <c r="AE17" t="s">
        <v>255</v>
      </c>
      <c r="AF17" t="s">
        <v>272</v>
      </c>
      <c r="AG17" t="s">
        <v>311</v>
      </c>
      <c r="AH17" t="s">
        <v>361</v>
      </c>
      <c r="AI17" t="s">
        <v>394</v>
      </c>
    </row>
    <row r="18" spans="12:35" x14ac:dyDescent="0.4">
      <c r="N18" t="s">
        <v>42</v>
      </c>
      <c r="O18" t="s">
        <v>437</v>
      </c>
      <c r="P18">
        <v>204</v>
      </c>
      <c r="T18" t="s">
        <v>88</v>
      </c>
      <c r="Y18" t="s">
        <v>155</v>
      </c>
      <c r="Z18" t="s">
        <v>171</v>
      </c>
      <c r="AA18" t="s">
        <v>199</v>
      </c>
      <c r="AD18" t="s">
        <v>238</v>
      </c>
      <c r="AE18" t="s">
        <v>256</v>
      </c>
      <c r="AF18" t="s">
        <v>273</v>
      </c>
      <c r="AG18" t="s">
        <v>312</v>
      </c>
      <c r="AH18" t="s">
        <v>362</v>
      </c>
    </row>
    <row r="19" spans="12:35" x14ac:dyDescent="0.4">
      <c r="N19" t="s">
        <v>43</v>
      </c>
      <c r="O19" t="s">
        <v>438</v>
      </c>
      <c r="P19">
        <v>205</v>
      </c>
      <c r="T19" t="s">
        <v>89</v>
      </c>
      <c r="Y19" t="s">
        <v>156</v>
      </c>
      <c r="Z19" t="s">
        <v>172</v>
      </c>
      <c r="AA19" t="s">
        <v>200</v>
      </c>
      <c r="AD19" t="s">
        <v>239</v>
      </c>
      <c r="AE19" t="s">
        <v>257</v>
      </c>
      <c r="AF19" t="s">
        <v>274</v>
      </c>
      <c r="AG19" t="s">
        <v>313</v>
      </c>
      <c r="AH19" t="s">
        <v>363</v>
      </c>
    </row>
    <row r="20" spans="12:35" x14ac:dyDescent="0.4">
      <c r="N20" t="s">
        <v>44</v>
      </c>
      <c r="O20" t="s">
        <v>439</v>
      </c>
      <c r="P20">
        <v>206</v>
      </c>
      <c r="T20" t="s">
        <v>90</v>
      </c>
      <c r="Z20" t="s">
        <v>173</v>
      </c>
      <c r="AA20" t="s">
        <v>201</v>
      </c>
      <c r="AE20" t="s">
        <v>258</v>
      </c>
      <c r="AF20" t="s">
        <v>275</v>
      </c>
      <c r="AG20" t="s">
        <v>314</v>
      </c>
      <c r="AH20" t="s">
        <v>364</v>
      </c>
    </row>
    <row r="21" spans="12:35" x14ac:dyDescent="0.4">
      <c r="N21" t="s">
        <v>45</v>
      </c>
      <c r="O21" t="s">
        <v>440</v>
      </c>
      <c r="P21">
        <v>207</v>
      </c>
      <c r="T21" t="s">
        <v>91</v>
      </c>
      <c r="Z21" t="s">
        <v>174</v>
      </c>
      <c r="AA21" t="s">
        <v>202</v>
      </c>
      <c r="AE21" t="s">
        <v>259</v>
      </c>
      <c r="AF21" t="s">
        <v>276</v>
      </c>
      <c r="AG21" t="s">
        <v>315</v>
      </c>
      <c r="AH21" t="s">
        <v>365</v>
      </c>
    </row>
    <row r="22" spans="12:35" x14ac:dyDescent="0.4">
      <c r="N22" t="s">
        <v>46</v>
      </c>
      <c r="O22" t="s">
        <v>441</v>
      </c>
      <c r="P22">
        <v>208</v>
      </c>
      <c r="T22" t="s">
        <v>92</v>
      </c>
      <c r="Z22" t="s">
        <v>175</v>
      </c>
      <c r="AA22" t="s">
        <v>203</v>
      </c>
      <c r="AF22" t="s">
        <v>277</v>
      </c>
      <c r="AG22" t="s">
        <v>316</v>
      </c>
      <c r="AH22" t="s">
        <v>366</v>
      </c>
    </row>
    <row r="23" spans="12:35" x14ac:dyDescent="0.4">
      <c r="N23" t="s">
        <v>47</v>
      </c>
      <c r="O23" t="s">
        <v>442</v>
      </c>
      <c r="P23">
        <v>209</v>
      </c>
      <c r="T23" t="s">
        <v>93</v>
      </c>
      <c r="Z23" t="s">
        <v>176</v>
      </c>
      <c r="AA23" t="s">
        <v>204</v>
      </c>
      <c r="AF23" t="s">
        <v>278</v>
      </c>
      <c r="AG23" t="s">
        <v>317</v>
      </c>
      <c r="AH23" t="s">
        <v>367</v>
      </c>
    </row>
    <row r="24" spans="12:35" x14ac:dyDescent="0.4">
      <c r="L24" s="9"/>
      <c r="M24" s="9"/>
      <c r="N24" t="s">
        <v>48</v>
      </c>
      <c r="O24" t="s">
        <v>443</v>
      </c>
      <c r="P24">
        <v>210</v>
      </c>
      <c r="T24" t="s">
        <v>94</v>
      </c>
      <c r="Z24" t="s">
        <v>177</v>
      </c>
      <c r="AA24" t="s">
        <v>205</v>
      </c>
      <c r="AF24" t="s">
        <v>279</v>
      </c>
      <c r="AG24" t="s">
        <v>318</v>
      </c>
      <c r="AH24" t="s">
        <v>368</v>
      </c>
    </row>
    <row r="25" spans="12:35" x14ac:dyDescent="0.4">
      <c r="L25" s="9"/>
      <c r="M25" s="9"/>
      <c r="N25" t="s">
        <v>49</v>
      </c>
      <c r="O25" t="s">
        <v>444</v>
      </c>
      <c r="P25">
        <v>211</v>
      </c>
      <c r="T25" t="s">
        <v>95</v>
      </c>
      <c r="Z25" t="s">
        <v>178</v>
      </c>
      <c r="AA25" t="s">
        <v>206</v>
      </c>
      <c r="AF25" t="s">
        <v>280</v>
      </c>
      <c r="AG25" t="s">
        <v>319</v>
      </c>
      <c r="AH25" t="s">
        <v>369</v>
      </c>
    </row>
    <row r="26" spans="12:35" x14ac:dyDescent="0.4">
      <c r="L26" s="9"/>
      <c r="M26" s="9"/>
      <c r="O26" t="s">
        <v>445</v>
      </c>
      <c r="P26">
        <v>212</v>
      </c>
      <c r="T26" t="s">
        <v>96</v>
      </c>
      <c r="Z26" t="s">
        <v>179</v>
      </c>
      <c r="AA26" t="s">
        <v>207</v>
      </c>
      <c r="AF26" t="s">
        <v>281</v>
      </c>
      <c r="AG26" t="s">
        <v>320</v>
      </c>
      <c r="AH26" t="s">
        <v>370</v>
      </c>
    </row>
    <row r="27" spans="12:35" x14ac:dyDescent="0.4">
      <c r="L27" s="9"/>
      <c r="M27" s="9"/>
      <c r="O27" t="s">
        <v>446</v>
      </c>
      <c r="P27">
        <v>220</v>
      </c>
      <c r="T27" t="s">
        <v>97</v>
      </c>
      <c r="Z27" t="s">
        <v>180</v>
      </c>
      <c r="AA27" t="s">
        <v>208</v>
      </c>
      <c r="AF27" t="s">
        <v>282</v>
      </c>
      <c r="AG27" t="s">
        <v>321</v>
      </c>
      <c r="AH27" t="s">
        <v>371</v>
      </c>
    </row>
    <row r="28" spans="12:35" x14ac:dyDescent="0.4">
      <c r="L28" s="9"/>
      <c r="M28" s="9"/>
      <c r="O28" t="s">
        <v>447</v>
      </c>
      <c r="P28">
        <v>221</v>
      </c>
      <c r="T28" t="s">
        <v>98</v>
      </c>
      <c r="Z28" t="s">
        <v>181</v>
      </c>
      <c r="AF28" t="s">
        <v>283</v>
      </c>
      <c r="AG28" t="s">
        <v>322</v>
      </c>
      <c r="AH28" t="s">
        <v>372</v>
      </c>
    </row>
    <row r="29" spans="12:35" x14ac:dyDescent="0.4">
      <c r="O29" t="s">
        <v>448</v>
      </c>
      <c r="P29">
        <v>222</v>
      </c>
      <c r="T29" t="s">
        <v>66</v>
      </c>
      <c r="Z29" t="s">
        <v>182</v>
      </c>
      <c r="AF29" t="s">
        <v>284</v>
      </c>
      <c r="AG29" t="s">
        <v>323</v>
      </c>
      <c r="AH29" t="s">
        <v>373</v>
      </c>
    </row>
    <row r="30" spans="12:35" x14ac:dyDescent="0.4">
      <c r="O30" t="s">
        <v>449</v>
      </c>
      <c r="P30">
        <v>223</v>
      </c>
      <c r="T30" t="s">
        <v>67</v>
      </c>
      <c r="Z30" t="s">
        <v>54</v>
      </c>
      <c r="AF30" t="s">
        <v>285</v>
      </c>
      <c r="AG30" t="s">
        <v>324</v>
      </c>
      <c r="AH30" t="s">
        <v>374</v>
      </c>
    </row>
    <row r="31" spans="12:35" x14ac:dyDescent="0.4">
      <c r="O31" t="s">
        <v>450</v>
      </c>
      <c r="P31">
        <v>224</v>
      </c>
      <c r="AF31" t="s">
        <v>286</v>
      </c>
      <c r="AG31" t="s">
        <v>325</v>
      </c>
      <c r="AH31" t="s">
        <v>375</v>
      </c>
    </row>
    <row r="32" spans="12:35" x14ac:dyDescent="0.4">
      <c r="O32" t="s">
        <v>451</v>
      </c>
      <c r="P32">
        <v>226</v>
      </c>
      <c r="AF32" t="s">
        <v>287</v>
      </c>
      <c r="AG32" t="s">
        <v>326</v>
      </c>
      <c r="AH32" t="s">
        <v>376</v>
      </c>
    </row>
    <row r="33" spans="15:34" x14ac:dyDescent="0.4">
      <c r="O33" t="s">
        <v>452</v>
      </c>
      <c r="P33">
        <v>227</v>
      </c>
      <c r="AF33" t="s">
        <v>288</v>
      </c>
      <c r="AG33" t="s">
        <v>327</v>
      </c>
      <c r="AH33" t="s">
        <v>377</v>
      </c>
    </row>
    <row r="34" spans="15:34" x14ac:dyDescent="0.4">
      <c r="O34" t="s">
        <v>453</v>
      </c>
      <c r="P34">
        <v>228</v>
      </c>
      <c r="AF34" t="s">
        <v>289</v>
      </c>
      <c r="AG34" t="s">
        <v>328</v>
      </c>
      <c r="AH34" t="s">
        <v>378</v>
      </c>
    </row>
    <row r="35" spans="15:34" x14ac:dyDescent="0.4">
      <c r="O35" t="s">
        <v>454</v>
      </c>
      <c r="P35">
        <v>231</v>
      </c>
      <c r="AF35" t="s">
        <v>290</v>
      </c>
      <c r="AG35" t="s">
        <v>329</v>
      </c>
    </row>
    <row r="36" spans="15:34" x14ac:dyDescent="0.4">
      <c r="O36" t="s">
        <v>455</v>
      </c>
      <c r="P36">
        <v>232</v>
      </c>
      <c r="AF36" t="s">
        <v>291</v>
      </c>
      <c r="AG36" t="s">
        <v>330</v>
      </c>
    </row>
    <row r="37" spans="15:34" x14ac:dyDescent="0.4">
      <c r="O37" t="s">
        <v>456</v>
      </c>
      <c r="P37">
        <v>233</v>
      </c>
      <c r="AF37" t="s">
        <v>292</v>
      </c>
      <c r="AG37" t="s">
        <v>331</v>
      </c>
    </row>
    <row r="38" spans="15:34" x14ac:dyDescent="0.4">
      <c r="O38" t="s">
        <v>457</v>
      </c>
      <c r="P38">
        <v>234</v>
      </c>
      <c r="AF38" t="s">
        <v>293</v>
      </c>
      <c r="AG38" t="s">
        <v>332</v>
      </c>
    </row>
    <row r="39" spans="15:34" x14ac:dyDescent="0.4">
      <c r="O39" t="s">
        <v>458</v>
      </c>
      <c r="P39">
        <v>235</v>
      </c>
      <c r="AG39" t="s">
        <v>333</v>
      </c>
    </row>
    <row r="40" spans="15:34" x14ac:dyDescent="0.4">
      <c r="O40" t="s">
        <v>459</v>
      </c>
      <c r="P40">
        <v>236</v>
      </c>
      <c r="AG40" t="s">
        <v>307</v>
      </c>
    </row>
    <row r="41" spans="15:34" x14ac:dyDescent="0.4">
      <c r="O41" t="s">
        <v>460</v>
      </c>
      <c r="P41">
        <v>237</v>
      </c>
      <c r="AG41" t="s">
        <v>308</v>
      </c>
    </row>
    <row r="42" spans="15:34" x14ac:dyDescent="0.4">
      <c r="O42" t="s">
        <v>461</v>
      </c>
      <c r="P42">
        <v>238</v>
      </c>
    </row>
    <row r="43" spans="15:34" x14ac:dyDescent="0.4">
      <c r="O43" t="s">
        <v>462</v>
      </c>
      <c r="P43">
        <v>239</v>
      </c>
    </row>
    <row r="44" spans="15:34" x14ac:dyDescent="0.4">
      <c r="O44" t="s">
        <v>463</v>
      </c>
      <c r="P44">
        <v>241</v>
      </c>
    </row>
    <row r="45" spans="15:34" x14ac:dyDescent="0.4">
      <c r="O45" t="s">
        <v>464</v>
      </c>
      <c r="P45">
        <v>242</v>
      </c>
    </row>
    <row r="46" spans="15:34" x14ac:dyDescent="0.4">
      <c r="O46" t="s">
        <v>465</v>
      </c>
      <c r="P46">
        <v>243</v>
      </c>
    </row>
    <row r="47" spans="15:34" x14ac:dyDescent="0.4">
      <c r="O47" t="s">
        <v>466</v>
      </c>
      <c r="P47">
        <v>244</v>
      </c>
    </row>
    <row r="48" spans="15:34" x14ac:dyDescent="0.4">
      <c r="O48" t="s">
        <v>467</v>
      </c>
      <c r="P48">
        <v>247</v>
      </c>
    </row>
    <row r="49" spans="15:16" x14ac:dyDescent="0.4">
      <c r="O49" t="s">
        <v>468</v>
      </c>
      <c r="P49">
        <v>248</v>
      </c>
    </row>
    <row r="50" spans="15:16" x14ac:dyDescent="0.4">
      <c r="O50" t="s">
        <v>469</v>
      </c>
      <c r="P50">
        <v>249</v>
      </c>
    </row>
    <row r="51" spans="15:16" x14ac:dyDescent="0.4">
      <c r="O51" t="s">
        <v>470</v>
      </c>
      <c r="P51">
        <v>251</v>
      </c>
    </row>
    <row r="52" spans="15:16" x14ac:dyDescent="0.4">
      <c r="O52" t="s">
        <v>471</v>
      </c>
      <c r="P52">
        <v>252</v>
      </c>
    </row>
    <row r="53" spans="15:16" x14ac:dyDescent="0.4">
      <c r="O53" t="s">
        <v>472</v>
      </c>
      <c r="P53">
        <v>253</v>
      </c>
    </row>
    <row r="54" spans="15:16" x14ac:dyDescent="0.4">
      <c r="O54" t="s">
        <v>473</v>
      </c>
      <c r="P54">
        <v>260</v>
      </c>
    </row>
    <row r="55" spans="15:16" x14ac:dyDescent="0.4">
      <c r="O55" t="s">
        <v>474</v>
      </c>
      <c r="P55">
        <v>261</v>
      </c>
    </row>
    <row r="56" spans="15:16" x14ac:dyDescent="0.4">
      <c r="O56" t="s">
        <v>475</v>
      </c>
      <c r="P56">
        <v>262</v>
      </c>
    </row>
    <row r="57" spans="15:16" x14ac:dyDescent="0.4">
      <c r="O57" t="s">
        <v>476</v>
      </c>
      <c r="P57">
        <v>263</v>
      </c>
    </row>
    <row r="58" spans="15:16" x14ac:dyDescent="0.4">
      <c r="O58" t="s">
        <v>477</v>
      </c>
      <c r="P58">
        <v>264</v>
      </c>
    </row>
    <row r="59" spans="15:16" x14ac:dyDescent="0.4">
      <c r="O59" t="s">
        <v>478</v>
      </c>
      <c r="P59">
        <v>265</v>
      </c>
    </row>
    <row r="60" spans="15:16" x14ac:dyDescent="0.4">
      <c r="O60" t="s">
        <v>479</v>
      </c>
      <c r="P60">
        <v>266</v>
      </c>
    </row>
    <row r="61" spans="15:16" x14ac:dyDescent="0.4">
      <c r="O61" t="s">
        <v>480</v>
      </c>
      <c r="P61">
        <v>267</v>
      </c>
    </row>
    <row r="62" spans="15:16" x14ac:dyDescent="0.4">
      <c r="O62" t="s">
        <v>481</v>
      </c>
      <c r="P62">
        <v>268</v>
      </c>
    </row>
    <row r="63" spans="15:16" x14ac:dyDescent="0.4">
      <c r="O63" t="s">
        <v>482</v>
      </c>
      <c r="P63">
        <v>269</v>
      </c>
    </row>
    <row r="64" spans="15:16" x14ac:dyDescent="0.4">
      <c r="O64" t="s">
        <v>483</v>
      </c>
      <c r="P64">
        <v>270</v>
      </c>
    </row>
    <row r="65" spans="15:16" x14ac:dyDescent="0.4">
      <c r="O65" t="s">
        <v>484</v>
      </c>
      <c r="P65">
        <v>272</v>
      </c>
    </row>
    <row r="66" spans="15:16" x14ac:dyDescent="0.4">
      <c r="O66" t="s">
        <v>485</v>
      </c>
      <c r="P66">
        <v>290</v>
      </c>
    </row>
    <row r="67" spans="15:16" x14ac:dyDescent="0.4">
      <c r="O67" t="s">
        <v>486</v>
      </c>
      <c r="P67">
        <v>290</v>
      </c>
    </row>
    <row r="68" spans="15:16" x14ac:dyDescent="0.4">
      <c r="O68" t="s">
        <v>487</v>
      </c>
      <c r="P68">
        <v>300</v>
      </c>
    </row>
    <row r="69" spans="15:16" x14ac:dyDescent="0.4">
      <c r="O69" t="s">
        <v>488</v>
      </c>
      <c r="P69">
        <v>300</v>
      </c>
    </row>
    <row r="70" spans="15:16" x14ac:dyDescent="0.4">
      <c r="O70" t="s">
        <v>489</v>
      </c>
      <c r="P70">
        <v>300</v>
      </c>
    </row>
    <row r="71" spans="15:16" x14ac:dyDescent="0.4">
      <c r="O71" t="s">
        <v>490</v>
      </c>
      <c r="P71">
        <v>302</v>
      </c>
    </row>
    <row r="72" spans="15:16" x14ac:dyDescent="0.4">
      <c r="O72" t="s">
        <v>491</v>
      </c>
      <c r="P72">
        <v>303</v>
      </c>
    </row>
    <row r="73" spans="15:16" x14ac:dyDescent="0.4">
      <c r="O73" t="s">
        <v>492</v>
      </c>
      <c r="P73">
        <v>304</v>
      </c>
    </row>
    <row r="74" spans="15:16" x14ac:dyDescent="0.4">
      <c r="O74" t="s">
        <v>493</v>
      </c>
      <c r="P74">
        <v>305</v>
      </c>
    </row>
    <row r="75" spans="15:16" x14ac:dyDescent="0.4">
      <c r="O75" t="s">
        <v>494</v>
      </c>
      <c r="P75">
        <v>306</v>
      </c>
    </row>
    <row r="76" spans="15:16" x14ac:dyDescent="0.4">
      <c r="O76" t="s">
        <v>495</v>
      </c>
      <c r="P76">
        <v>307</v>
      </c>
    </row>
    <row r="77" spans="15:16" x14ac:dyDescent="0.4">
      <c r="O77" t="s">
        <v>496</v>
      </c>
      <c r="P77">
        <v>308</v>
      </c>
    </row>
    <row r="78" spans="15:16" x14ac:dyDescent="0.4">
      <c r="O78" t="s">
        <v>497</v>
      </c>
      <c r="P78">
        <v>310</v>
      </c>
    </row>
    <row r="79" spans="15:16" x14ac:dyDescent="0.4">
      <c r="O79" t="s">
        <v>498</v>
      </c>
      <c r="P79">
        <v>311</v>
      </c>
    </row>
    <row r="80" spans="15:16" x14ac:dyDescent="0.4">
      <c r="O80" t="s">
        <v>499</v>
      </c>
      <c r="P80">
        <v>312</v>
      </c>
    </row>
    <row r="81" spans="15:16" x14ac:dyDescent="0.4">
      <c r="O81" t="s">
        <v>500</v>
      </c>
      <c r="P81">
        <v>313</v>
      </c>
    </row>
    <row r="82" spans="15:16" x14ac:dyDescent="0.4">
      <c r="O82" t="s">
        <v>501</v>
      </c>
      <c r="P82">
        <v>314</v>
      </c>
    </row>
    <row r="83" spans="15:16" x14ac:dyDescent="0.4">
      <c r="O83" t="s">
        <v>502</v>
      </c>
      <c r="P83">
        <v>315</v>
      </c>
    </row>
    <row r="84" spans="15:16" x14ac:dyDescent="0.4">
      <c r="O84" t="s">
        <v>503</v>
      </c>
      <c r="P84">
        <v>320</v>
      </c>
    </row>
    <row r="85" spans="15:16" x14ac:dyDescent="0.4">
      <c r="O85" t="s">
        <v>504</v>
      </c>
      <c r="P85">
        <v>324</v>
      </c>
    </row>
    <row r="86" spans="15:16" x14ac:dyDescent="0.4">
      <c r="O86" t="s">
        <v>505</v>
      </c>
      <c r="P86">
        <v>325</v>
      </c>
    </row>
    <row r="87" spans="15:16" x14ac:dyDescent="0.4">
      <c r="O87" t="s">
        <v>506</v>
      </c>
      <c r="P87">
        <v>326</v>
      </c>
    </row>
    <row r="88" spans="15:16" x14ac:dyDescent="0.4">
      <c r="O88" t="s">
        <v>507</v>
      </c>
      <c r="P88">
        <v>327</v>
      </c>
    </row>
    <row r="89" spans="15:16" x14ac:dyDescent="0.4">
      <c r="O89" t="s">
        <v>508</v>
      </c>
      <c r="P89">
        <v>328</v>
      </c>
    </row>
    <row r="90" spans="15:16" x14ac:dyDescent="0.4">
      <c r="O90" t="s">
        <v>509</v>
      </c>
      <c r="P90">
        <v>330</v>
      </c>
    </row>
    <row r="91" spans="15:16" x14ac:dyDescent="0.4">
      <c r="O91" t="s">
        <v>510</v>
      </c>
      <c r="P91">
        <v>333</v>
      </c>
    </row>
    <row r="92" spans="15:16" x14ac:dyDescent="0.4">
      <c r="O92" t="s">
        <v>511</v>
      </c>
      <c r="P92">
        <v>334</v>
      </c>
    </row>
    <row r="93" spans="15:16" x14ac:dyDescent="0.4">
      <c r="O93" t="s">
        <v>512</v>
      </c>
      <c r="P93">
        <v>335</v>
      </c>
    </row>
    <row r="94" spans="15:16" x14ac:dyDescent="0.4">
      <c r="O94" t="s">
        <v>513</v>
      </c>
      <c r="P94">
        <v>336</v>
      </c>
    </row>
    <row r="95" spans="15:16" x14ac:dyDescent="0.4">
      <c r="O95" t="s">
        <v>514</v>
      </c>
      <c r="P95">
        <v>337</v>
      </c>
    </row>
    <row r="96" spans="15:16" x14ac:dyDescent="0.4">
      <c r="O96" t="s">
        <v>515</v>
      </c>
      <c r="P96">
        <v>338</v>
      </c>
    </row>
    <row r="97" spans="15:16" x14ac:dyDescent="0.4">
      <c r="O97" t="s">
        <v>516</v>
      </c>
      <c r="P97">
        <v>350</v>
      </c>
    </row>
    <row r="98" spans="15:16" x14ac:dyDescent="0.4">
      <c r="O98" t="s">
        <v>517</v>
      </c>
      <c r="P98">
        <v>351</v>
      </c>
    </row>
    <row r="99" spans="15:16" x14ac:dyDescent="0.4">
      <c r="O99" t="s">
        <v>518</v>
      </c>
      <c r="P99">
        <v>352</v>
      </c>
    </row>
    <row r="100" spans="15:16" x14ac:dyDescent="0.4">
      <c r="O100" t="s">
        <v>519</v>
      </c>
      <c r="P100">
        <v>353</v>
      </c>
    </row>
    <row r="101" spans="15:16" x14ac:dyDescent="0.4">
      <c r="O101" t="s">
        <v>520</v>
      </c>
      <c r="P101">
        <v>354</v>
      </c>
    </row>
    <row r="102" spans="15:16" x14ac:dyDescent="0.4">
      <c r="O102" t="s">
        <v>521</v>
      </c>
      <c r="P102">
        <v>356</v>
      </c>
    </row>
    <row r="103" spans="15:16" x14ac:dyDescent="0.4">
      <c r="O103" t="s">
        <v>522</v>
      </c>
      <c r="P103">
        <v>357</v>
      </c>
    </row>
    <row r="104" spans="15:16" x14ac:dyDescent="0.4">
      <c r="O104" t="s">
        <v>523</v>
      </c>
      <c r="P104">
        <v>358</v>
      </c>
    </row>
    <row r="105" spans="15:16" x14ac:dyDescent="0.4">
      <c r="O105" t="s">
        <v>524</v>
      </c>
      <c r="P105">
        <v>360</v>
      </c>
    </row>
    <row r="106" spans="15:16" x14ac:dyDescent="0.4">
      <c r="O106" t="s">
        <v>525</v>
      </c>
      <c r="P106">
        <v>361</v>
      </c>
    </row>
    <row r="107" spans="15:16" x14ac:dyDescent="0.4">
      <c r="O107" t="s">
        <v>526</v>
      </c>
      <c r="P107">
        <v>362</v>
      </c>
    </row>
    <row r="108" spans="15:16" x14ac:dyDescent="0.4">
      <c r="O108" t="s">
        <v>527</v>
      </c>
      <c r="P108">
        <v>363</v>
      </c>
    </row>
    <row r="109" spans="15:16" x14ac:dyDescent="0.4">
      <c r="O109" t="s">
        <v>528</v>
      </c>
      <c r="P109">
        <v>364</v>
      </c>
    </row>
    <row r="110" spans="15:16" x14ac:dyDescent="0.4">
      <c r="O110" t="s">
        <v>529</v>
      </c>
      <c r="P110">
        <v>365</v>
      </c>
    </row>
    <row r="111" spans="15:16" x14ac:dyDescent="0.4">
      <c r="O111" t="s">
        <v>530</v>
      </c>
      <c r="P111">
        <v>366</v>
      </c>
    </row>
    <row r="112" spans="15:16" x14ac:dyDescent="0.4">
      <c r="O112" t="s">
        <v>531</v>
      </c>
      <c r="P112">
        <v>367</v>
      </c>
    </row>
    <row r="113" spans="15:16" x14ac:dyDescent="0.4">
      <c r="O113" t="s">
        <v>532</v>
      </c>
      <c r="P113">
        <v>368</v>
      </c>
    </row>
    <row r="114" spans="15:16" x14ac:dyDescent="0.4">
      <c r="O114" t="s">
        <v>533</v>
      </c>
      <c r="P114">
        <v>369</v>
      </c>
    </row>
    <row r="115" spans="15:16" x14ac:dyDescent="0.4">
      <c r="O115" t="s">
        <v>534</v>
      </c>
      <c r="P115">
        <v>400</v>
      </c>
    </row>
    <row r="116" spans="15:16" x14ac:dyDescent="0.4">
      <c r="O116" t="s">
        <v>535</v>
      </c>
      <c r="P116">
        <v>401</v>
      </c>
    </row>
    <row r="117" spans="15:16" x14ac:dyDescent="0.4">
      <c r="O117" t="s">
        <v>536</v>
      </c>
      <c r="P117">
        <v>402</v>
      </c>
    </row>
    <row r="118" spans="15:16" x14ac:dyDescent="0.4">
      <c r="O118" t="s">
        <v>537</v>
      </c>
      <c r="P118">
        <v>403</v>
      </c>
    </row>
    <row r="119" spans="15:16" x14ac:dyDescent="0.4">
      <c r="O119" t="s">
        <v>538</v>
      </c>
      <c r="P119">
        <v>404</v>
      </c>
    </row>
    <row r="120" spans="15:16" x14ac:dyDescent="0.4">
      <c r="O120" t="s">
        <v>539</v>
      </c>
      <c r="P120">
        <v>406</v>
      </c>
    </row>
    <row r="121" spans="15:16" x14ac:dyDescent="0.4">
      <c r="O121" t="s">
        <v>540</v>
      </c>
      <c r="P121">
        <v>407</v>
      </c>
    </row>
    <row r="122" spans="15:16" x14ac:dyDescent="0.4">
      <c r="O122" t="s">
        <v>541</v>
      </c>
      <c r="P122">
        <v>408</v>
      </c>
    </row>
    <row r="123" spans="15:16" x14ac:dyDescent="0.4">
      <c r="O123" t="s">
        <v>542</v>
      </c>
      <c r="P123">
        <v>411</v>
      </c>
    </row>
    <row r="124" spans="15:16" x14ac:dyDescent="0.4">
      <c r="O124" t="s">
        <v>543</v>
      </c>
      <c r="P124">
        <v>412</v>
      </c>
    </row>
    <row r="125" spans="15:16" x14ac:dyDescent="0.4">
      <c r="O125" t="s">
        <v>544</v>
      </c>
      <c r="P125">
        <v>413</v>
      </c>
    </row>
    <row r="126" spans="15:16" x14ac:dyDescent="0.4">
      <c r="O126" t="s">
        <v>545</v>
      </c>
      <c r="P126">
        <v>414</v>
      </c>
    </row>
    <row r="127" spans="15:16" x14ac:dyDescent="0.4">
      <c r="O127" t="s">
        <v>546</v>
      </c>
      <c r="P127">
        <v>420</v>
      </c>
    </row>
    <row r="128" spans="15:16" x14ac:dyDescent="0.4">
      <c r="O128" t="s">
        <v>547</v>
      </c>
      <c r="P128">
        <v>421</v>
      </c>
    </row>
    <row r="129" spans="15:16" x14ac:dyDescent="0.4">
      <c r="O129" t="s">
        <v>548</v>
      </c>
      <c r="P129">
        <v>422</v>
      </c>
    </row>
    <row r="130" spans="15:16" x14ac:dyDescent="0.4">
      <c r="O130" t="s">
        <v>549</v>
      </c>
      <c r="P130">
        <v>423</v>
      </c>
    </row>
    <row r="131" spans="15:16" x14ac:dyDescent="0.4">
      <c r="O131" t="s">
        <v>550</v>
      </c>
      <c r="P131">
        <v>424</v>
      </c>
    </row>
    <row r="132" spans="15:16" x14ac:dyDescent="0.4">
      <c r="O132" t="s">
        <v>551</v>
      </c>
      <c r="P132">
        <v>426</v>
      </c>
    </row>
    <row r="133" spans="15:16" x14ac:dyDescent="0.4">
      <c r="O133" t="s">
        <v>552</v>
      </c>
      <c r="P133">
        <v>427</v>
      </c>
    </row>
    <row r="134" spans="15:16" x14ac:dyDescent="0.4">
      <c r="O134" t="s">
        <v>553</v>
      </c>
      <c r="P134">
        <v>428</v>
      </c>
    </row>
    <row r="135" spans="15:16" x14ac:dyDescent="0.4">
      <c r="O135" t="s">
        <v>554</v>
      </c>
      <c r="P135">
        <v>429</v>
      </c>
    </row>
    <row r="136" spans="15:16" x14ac:dyDescent="0.4">
      <c r="O136" t="s">
        <v>555</v>
      </c>
      <c r="P136">
        <v>432</v>
      </c>
    </row>
    <row r="137" spans="15:16" x14ac:dyDescent="0.4">
      <c r="O137" t="s">
        <v>556</v>
      </c>
      <c r="P137">
        <v>433</v>
      </c>
    </row>
    <row r="138" spans="15:16" x14ac:dyDescent="0.4">
      <c r="O138" t="s">
        <v>557</v>
      </c>
      <c r="P138">
        <v>434</v>
      </c>
    </row>
    <row r="139" spans="15:16" x14ac:dyDescent="0.4">
      <c r="O139" t="s">
        <v>558</v>
      </c>
      <c r="P139">
        <v>435</v>
      </c>
    </row>
    <row r="140" spans="15:16" x14ac:dyDescent="0.4">
      <c r="O140" t="s">
        <v>559</v>
      </c>
      <c r="P140">
        <v>436</v>
      </c>
    </row>
    <row r="141" spans="15:16" x14ac:dyDescent="0.4">
      <c r="O141" t="s">
        <v>560</v>
      </c>
      <c r="P141">
        <v>437</v>
      </c>
    </row>
    <row r="142" spans="15:16" x14ac:dyDescent="0.4">
      <c r="O142" t="s">
        <v>561</v>
      </c>
      <c r="P142">
        <v>438</v>
      </c>
    </row>
    <row r="143" spans="15:16" x14ac:dyDescent="0.4">
      <c r="O143" t="s">
        <v>562</v>
      </c>
      <c r="P143">
        <v>439</v>
      </c>
    </row>
    <row r="144" spans="15:16" x14ac:dyDescent="0.4">
      <c r="O144" t="s">
        <v>563</v>
      </c>
      <c r="P144">
        <v>500</v>
      </c>
    </row>
    <row r="145" spans="15:16" x14ac:dyDescent="0.4">
      <c r="O145" t="s">
        <v>564</v>
      </c>
      <c r="P145">
        <v>502</v>
      </c>
    </row>
    <row r="146" spans="15:16" x14ac:dyDescent="0.4">
      <c r="O146" t="s">
        <v>565</v>
      </c>
      <c r="P146">
        <v>503</v>
      </c>
    </row>
    <row r="147" spans="15:16" x14ac:dyDescent="0.4">
      <c r="O147" t="s">
        <v>566</v>
      </c>
      <c r="P147">
        <v>504</v>
      </c>
    </row>
    <row r="148" spans="15:16" x14ac:dyDescent="0.4">
      <c r="O148" t="s">
        <v>567</v>
      </c>
      <c r="P148">
        <v>505</v>
      </c>
    </row>
    <row r="149" spans="15:16" x14ac:dyDescent="0.4">
      <c r="O149" t="s">
        <v>568</v>
      </c>
      <c r="P149">
        <v>506</v>
      </c>
    </row>
    <row r="150" spans="15:16" x14ac:dyDescent="0.4">
      <c r="O150" t="s">
        <v>569</v>
      </c>
      <c r="P150">
        <v>507</v>
      </c>
    </row>
    <row r="151" spans="15:16" x14ac:dyDescent="0.4">
      <c r="O151" t="s">
        <v>570</v>
      </c>
      <c r="P151">
        <v>508</v>
      </c>
    </row>
    <row r="152" spans="15:16" x14ac:dyDescent="0.4">
      <c r="O152" t="s">
        <v>571</v>
      </c>
      <c r="P152">
        <v>509</v>
      </c>
    </row>
    <row r="153" spans="15:16" x14ac:dyDescent="0.4">
      <c r="O153" t="s">
        <v>572</v>
      </c>
      <c r="P153">
        <v>510</v>
      </c>
    </row>
    <row r="154" spans="15:16" x14ac:dyDescent="0.4">
      <c r="O154" t="s">
        <v>573</v>
      </c>
      <c r="P154">
        <v>511</v>
      </c>
    </row>
    <row r="155" spans="15:16" x14ac:dyDescent="0.4">
      <c r="O155" t="s">
        <v>574</v>
      </c>
      <c r="P155">
        <v>512</v>
      </c>
    </row>
    <row r="156" spans="15:16" x14ac:dyDescent="0.4">
      <c r="O156" t="s">
        <v>575</v>
      </c>
      <c r="P156">
        <v>513</v>
      </c>
    </row>
    <row r="157" spans="15:16" x14ac:dyDescent="0.4">
      <c r="O157" t="s">
        <v>576</v>
      </c>
      <c r="P157">
        <v>514</v>
      </c>
    </row>
    <row r="158" spans="15:16" x14ac:dyDescent="0.4">
      <c r="O158" t="s">
        <v>577</v>
      </c>
      <c r="P158">
        <v>515</v>
      </c>
    </row>
    <row r="159" spans="15:16" x14ac:dyDescent="0.4">
      <c r="O159" t="s">
        <v>578</v>
      </c>
      <c r="P159">
        <v>516</v>
      </c>
    </row>
    <row r="160" spans="15:16" x14ac:dyDescent="0.4">
      <c r="O160" t="s">
        <v>579</v>
      </c>
      <c r="P160">
        <v>520</v>
      </c>
    </row>
    <row r="161" spans="15:16" x14ac:dyDescent="0.4">
      <c r="O161" t="s">
        <v>580</v>
      </c>
      <c r="P161">
        <v>521</v>
      </c>
    </row>
    <row r="162" spans="15:16" x14ac:dyDescent="0.4">
      <c r="O162" t="s">
        <v>581</v>
      </c>
      <c r="P162">
        <v>522</v>
      </c>
    </row>
    <row r="163" spans="15:16" x14ac:dyDescent="0.4">
      <c r="O163" t="s">
        <v>582</v>
      </c>
      <c r="P163">
        <v>523</v>
      </c>
    </row>
    <row r="164" spans="15:16" x14ac:dyDescent="0.4">
      <c r="O164" t="s">
        <v>583</v>
      </c>
      <c r="P164">
        <v>524</v>
      </c>
    </row>
    <row r="165" spans="15:16" x14ac:dyDescent="0.4">
      <c r="O165" t="s">
        <v>584</v>
      </c>
      <c r="P165">
        <v>525</v>
      </c>
    </row>
    <row r="166" spans="15:16" x14ac:dyDescent="0.4">
      <c r="O166" t="s">
        <v>585</v>
      </c>
      <c r="P166">
        <v>526</v>
      </c>
    </row>
    <row r="167" spans="15:16" x14ac:dyDescent="0.4">
      <c r="O167" t="s">
        <v>586</v>
      </c>
      <c r="P167">
        <v>527</v>
      </c>
    </row>
    <row r="168" spans="15:16" x14ac:dyDescent="0.4">
      <c r="O168" t="s">
        <v>587</v>
      </c>
      <c r="P168">
        <v>528</v>
      </c>
    </row>
    <row r="169" spans="15:16" x14ac:dyDescent="0.4">
      <c r="O169" t="s">
        <v>588</v>
      </c>
      <c r="P169">
        <v>530</v>
      </c>
    </row>
    <row r="170" spans="15:16" x14ac:dyDescent="0.4">
      <c r="O170" t="s">
        <v>589</v>
      </c>
      <c r="P170">
        <v>540</v>
      </c>
    </row>
    <row r="171" spans="15:16" x14ac:dyDescent="0.4">
      <c r="O171" t="s">
        <v>590</v>
      </c>
      <c r="P171">
        <v>541</v>
      </c>
    </row>
    <row r="172" spans="15:16" x14ac:dyDescent="0.4">
      <c r="O172" t="s">
        <v>591</v>
      </c>
      <c r="P172">
        <v>542</v>
      </c>
    </row>
    <row r="173" spans="15:16" x14ac:dyDescent="0.4">
      <c r="O173" t="s">
        <v>592</v>
      </c>
      <c r="P173">
        <v>544</v>
      </c>
    </row>
    <row r="174" spans="15:16" x14ac:dyDescent="0.4">
      <c r="O174" t="s">
        <v>593</v>
      </c>
      <c r="P174">
        <v>545</v>
      </c>
    </row>
    <row r="175" spans="15:16" x14ac:dyDescent="0.4">
      <c r="O175" t="s">
        <v>594</v>
      </c>
      <c r="P175">
        <v>546</v>
      </c>
    </row>
    <row r="176" spans="15:16" x14ac:dyDescent="0.4">
      <c r="O176" t="s">
        <v>595</v>
      </c>
      <c r="P176">
        <v>551</v>
      </c>
    </row>
    <row r="177" spans="15:16" x14ac:dyDescent="0.4">
      <c r="O177" t="s">
        <v>596</v>
      </c>
      <c r="P177">
        <v>552</v>
      </c>
    </row>
    <row r="178" spans="15:16" x14ac:dyDescent="0.4">
      <c r="O178" t="s">
        <v>597</v>
      </c>
      <c r="P178">
        <v>553</v>
      </c>
    </row>
    <row r="179" spans="15:16" x14ac:dyDescent="0.4">
      <c r="O179" t="s">
        <v>598</v>
      </c>
      <c r="P179">
        <v>555</v>
      </c>
    </row>
    <row r="180" spans="15:16" x14ac:dyDescent="0.4">
      <c r="O180" t="s">
        <v>599</v>
      </c>
      <c r="P180">
        <v>556</v>
      </c>
    </row>
    <row r="181" spans="15:16" x14ac:dyDescent="0.4">
      <c r="O181" t="s">
        <v>600</v>
      </c>
      <c r="P181">
        <v>557</v>
      </c>
    </row>
    <row r="182" spans="15:16" x14ac:dyDescent="0.4">
      <c r="O182" t="s">
        <v>601</v>
      </c>
      <c r="P182">
        <v>558</v>
      </c>
    </row>
    <row r="183" spans="15:16" x14ac:dyDescent="0.4">
      <c r="O183" t="s">
        <v>602</v>
      </c>
      <c r="P183">
        <v>600</v>
      </c>
    </row>
    <row r="184" spans="15:16" x14ac:dyDescent="0.4">
      <c r="O184" t="s">
        <v>603</v>
      </c>
      <c r="P184">
        <v>600</v>
      </c>
    </row>
    <row r="185" spans="15:16" x14ac:dyDescent="0.4">
      <c r="O185" t="s">
        <v>604</v>
      </c>
      <c r="P185">
        <v>602</v>
      </c>
    </row>
    <row r="186" spans="15:16" x14ac:dyDescent="0.4">
      <c r="O186" t="s">
        <v>605</v>
      </c>
      <c r="P186">
        <v>603</v>
      </c>
    </row>
    <row r="187" spans="15:16" x14ac:dyDescent="0.4">
      <c r="O187" t="s">
        <v>606</v>
      </c>
      <c r="P187">
        <v>604</v>
      </c>
    </row>
    <row r="188" spans="15:16" x14ac:dyDescent="0.4">
      <c r="O188" t="s">
        <v>607</v>
      </c>
      <c r="P188">
        <v>605</v>
      </c>
    </row>
    <row r="189" spans="15:16" x14ac:dyDescent="0.4">
      <c r="O189" t="s">
        <v>608</v>
      </c>
      <c r="P189">
        <v>606</v>
      </c>
    </row>
    <row r="190" spans="15:16" x14ac:dyDescent="0.4">
      <c r="O190" t="s">
        <v>609</v>
      </c>
      <c r="P190">
        <v>607</v>
      </c>
    </row>
    <row r="191" spans="15:16" x14ac:dyDescent="0.4">
      <c r="O191" t="s">
        <v>610</v>
      </c>
      <c r="P191">
        <v>608</v>
      </c>
    </row>
    <row r="192" spans="15:16" x14ac:dyDescent="0.4">
      <c r="O192" t="s">
        <v>611</v>
      </c>
      <c r="P192">
        <v>611</v>
      </c>
    </row>
    <row r="193" spans="15:16" x14ac:dyDescent="0.4">
      <c r="O193" t="s">
        <v>612</v>
      </c>
      <c r="P193">
        <v>612</v>
      </c>
    </row>
    <row r="194" spans="15:16" x14ac:dyDescent="0.4">
      <c r="O194" t="s">
        <v>613</v>
      </c>
      <c r="P194">
        <v>613</v>
      </c>
    </row>
    <row r="195" spans="15:16" x14ac:dyDescent="0.4">
      <c r="O195" t="s">
        <v>614</v>
      </c>
      <c r="P195">
        <v>614</v>
      </c>
    </row>
    <row r="196" spans="15:16" x14ac:dyDescent="0.4">
      <c r="O196" t="s">
        <v>615</v>
      </c>
      <c r="P196">
        <v>615</v>
      </c>
    </row>
    <row r="197" spans="15:16" x14ac:dyDescent="0.4">
      <c r="O197" t="s">
        <v>616</v>
      </c>
      <c r="P197">
        <v>616</v>
      </c>
    </row>
    <row r="198" spans="15:16" x14ac:dyDescent="0.4">
      <c r="O198" t="s">
        <v>617</v>
      </c>
      <c r="P198">
        <v>621</v>
      </c>
    </row>
    <row r="199" spans="15:16" x14ac:dyDescent="0.4">
      <c r="O199" t="s">
        <v>618</v>
      </c>
      <c r="P199">
        <v>622</v>
      </c>
    </row>
    <row r="200" spans="15:16" x14ac:dyDescent="0.4">
      <c r="O200" t="s">
        <v>619</v>
      </c>
      <c r="P200">
        <v>623</v>
      </c>
    </row>
    <row r="201" spans="15:16" x14ac:dyDescent="0.4">
      <c r="O201" t="s">
        <v>620</v>
      </c>
      <c r="P201">
        <v>624</v>
      </c>
    </row>
    <row r="202" spans="15:16" x14ac:dyDescent="0.4">
      <c r="O202" t="s">
        <v>621</v>
      </c>
      <c r="P202">
        <v>625</v>
      </c>
    </row>
    <row r="203" spans="15:16" x14ac:dyDescent="0.4">
      <c r="O203" t="s">
        <v>622</v>
      </c>
      <c r="P203">
        <v>630</v>
      </c>
    </row>
    <row r="204" spans="15:16" x14ac:dyDescent="0.4">
      <c r="O204" t="s">
        <v>623</v>
      </c>
      <c r="P204">
        <v>631</v>
      </c>
    </row>
    <row r="205" spans="15:16" x14ac:dyDescent="0.4">
      <c r="O205" t="s">
        <v>624</v>
      </c>
      <c r="P205">
        <v>632</v>
      </c>
    </row>
    <row r="206" spans="15:16" x14ac:dyDescent="0.4">
      <c r="O206" t="s">
        <v>625</v>
      </c>
      <c r="P206">
        <v>633</v>
      </c>
    </row>
    <row r="207" spans="15:16" x14ac:dyDescent="0.4">
      <c r="O207" t="s">
        <v>626</v>
      </c>
      <c r="P207">
        <v>634</v>
      </c>
    </row>
    <row r="208" spans="15:16" x14ac:dyDescent="0.4">
      <c r="O208" t="s">
        <v>627</v>
      </c>
      <c r="P208">
        <v>635</v>
      </c>
    </row>
    <row r="209" spans="15:16" x14ac:dyDescent="0.4">
      <c r="O209" t="s">
        <v>628</v>
      </c>
      <c r="P209">
        <v>636</v>
      </c>
    </row>
    <row r="210" spans="15:16" x14ac:dyDescent="0.4">
      <c r="O210" t="s">
        <v>629</v>
      </c>
      <c r="P210">
        <v>637</v>
      </c>
    </row>
    <row r="211" spans="15:16" x14ac:dyDescent="0.4">
      <c r="O211" t="s">
        <v>630</v>
      </c>
      <c r="P211">
        <v>638</v>
      </c>
    </row>
    <row r="212" spans="15:16" x14ac:dyDescent="0.4">
      <c r="O212" t="s">
        <v>631</v>
      </c>
      <c r="P212">
        <v>640</v>
      </c>
    </row>
    <row r="213" spans="15:16" x14ac:dyDescent="0.4">
      <c r="O213" t="s">
        <v>632</v>
      </c>
      <c r="P213">
        <v>643</v>
      </c>
    </row>
    <row r="214" spans="15:16" x14ac:dyDescent="0.4">
      <c r="O214" t="s">
        <v>633</v>
      </c>
      <c r="P214">
        <v>646</v>
      </c>
    </row>
    <row r="215" spans="15:16" x14ac:dyDescent="0.4">
      <c r="O215" t="s">
        <v>634</v>
      </c>
      <c r="P215">
        <v>647</v>
      </c>
    </row>
    <row r="216" spans="15:16" x14ac:dyDescent="0.4">
      <c r="O216" t="s">
        <v>635</v>
      </c>
      <c r="P216">
        <v>648</v>
      </c>
    </row>
    <row r="217" spans="15:16" x14ac:dyDescent="0.4">
      <c r="O217" t="s">
        <v>636</v>
      </c>
      <c r="P217">
        <v>649</v>
      </c>
    </row>
    <row r="218" spans="15:16" x14ac:dyDescent="0.4">
      <c r="O218" t="s">
        <v>637</v>
      </c>
      <c r="P218">
        <v>651</v>
      </c>
    </row>
    <row r="219" spans="15:16" x14ac:dyDescent="0.4">
      <c r="O219" t="s">
        <v>638</v>
      </c>
      <c r="P219">
        <v>652</v>
      </c>
    </row>
    <row r="220" spans="15:16" x14ac:dyDescent="0.4">
      <c r="O220" t="s">
        <v>639</v>
      </c>
      <c r="P220">
        <v>653</v>
      </c>
    </row>
    <row r="221" spans="15:16" x14ac:dyDescent="0.4">
      <c r="O221" t="s">
        <v>640</v>
      </c>
      <c r="P221">
        <v>654</v>
      </c>
    </row>
    <row r="222" spans="15:16" x14ac:dyDescent="0.4">
      <c r="O222" t="s">
        <v>641</v>
      </c>
      <c r="P222">
        <v>655</v>
      </c>
    </row>
    <row r="223" spans="15:16" x14ac:dyDescent="0.4">
      <c r="O223" t="s">
        <v>642</v>
      </c>
      <c r="P223">
        <v>700</v>
      </c>
    </row>
    <row r="224" spans="15:16" x14ac:dyDescent="0.4">
      <c r="O224" t="s">
        <v>643</v>
      </c>
      <c r="P224">
        <v>701</v>
      </c>
    </row>
    <row r="225" spans="15:16" x14ac:dyDescent="0.4">
      <c r="O225" t="s">
        <v>644</v>
      </c>
      <c r="P225">
        <v>702</v>
      </c>
    </row>
    <row r="226" spans="15:16" x14ac:dyDescent="0.4">
      <c r="O226" t="s">
        <v>645</v>
      </c>
      <c r="P226">
        <v>704</v>
      </c>
    </row>
    <row r="227" spans="15:16" x14ac:dyDescent="0.4">
      <c r="O227" t="s">
        <v>646</v>
      </c>
      <c r="P227">
        <v>708</v>
      </c>
    </row>
    <row r="228" spans="15:16" x14ac:dyDescent="0.4">
      <c r="O228" t="s">
        <v>647</v>
      </c>
      <c r="P228">
        <v>709</v>
      </c>
    </row>
    <row r="229" spans="15:16" x14ac:dyDescent="0.4">
      <c r="O229" t="s">
        <v>648</v>
      </c>
      <c r="P229">
        <v>710</v>
      </c>
    </row>
    <row r="230" spans="15:16" x14ac:dyDescent="0.4">
      <c r="O230" t="s">
        <v>649</v>
      </c>
      <c r="P230">
        <v>711</v>
      </c>
    </row>
    <row r="231" spans="15:16" x14ac:dyDescent="0.4">
      <c r="O231" t="s">
        <v>650</v>
      </c>
      <c r="P231">
        <v>712</v>
      </c>
    </row>
    <row r="232" spans="15:16" x14ac:dyDescent="0.4">
      <c r="O232" t="s">
        <v>651</v>
      </c>
      <c r="P232">
        <v>713</v>
      </c>
    </row>
    <row r="233" spans="15:16" x14ac:dyDescent="0.4">
      <c r="O233" t="s">
        <v>652</v>
      </c>
      <c r="P233">
        <v>714</v>
      </c>
    </row>
    <row r="234" spans="15:16" x14ac:dyDescent="0.4">
      <c r="O234" t="s">
        <v>653</v>
      </c>
      <c r="P234">
        <v>715</v>
      </c>
    </row>
    <row r="235" spans="15:16" x14ac:dyDescent="0.4">
      <c r="O235" t="s">
        <v>654</v>
      </c>
      <c r="P235">
        <v>716</v>
      </c>
    </row>
    <row r="236" spans="15:16" x14ac:dyDescent="0.4">
      <c r="O236" t="s">
        <v>655</v>
      </c>
      <c r="P236">
        <v>717</v>
      </c>
    </row>
    <row r="237" spans="15:16" x14ac:dyDescent="0.4">
      <c r="O237" t="s">
        <v>656</v>
      </c>
      <c r="P237">
        <v>718</v>
      </c>
    </row>
    <row r="238" spans="15:16" x14ac:dyDescent="0.4">
      <c r="O238" t="s">
        <v>657</v>
      </c>
      <c r="P238">
        <v>719</v>
      </c>
    </row>
    <row r="239" spans="15:16" x14ac:dyDescent="0.4">
      <c r="O239" t="s">
        <v>658</v>
      </c>
      <c r="P239">
        <v>720</v>
      </c>
    </row>
    <row r="240" spans="15:16" x14ac:dyDescent="0.4">
      <c r="O240" t="s">
        <v>659</v>
      </c>
      <c r="P240">
        <v>721</v>
      </c>
    </row>
    <row r="241" spans="15:16" x14ac:dyDescent="0.4">
      <c r="O241" t="s">
        <v>660</v>
      </c>
      <c r="P241">
        <v>722</v>
      </c>
    </row>
    <row r="242" spans="15:16" x14ac:dyDescent="0.4">
      <c r="O242" t="s">
        <v>661</v>
      </c>
      <c r="P242">
        <v>723</v>
      </c>
    </row>
    <row r="243" spans="15:16" x14ac:dyDescent="0.4">
      <c r="O243" t="s">
        <v>662</v>
      </c>
      <c r="P243">
        <v>724</v>
      </c>
    </row>
    <row r="244" spans="15:16" x14ac:dyDescent="0.4">
      <c r="O244" t="s">
        <v>663</v>
      </c>
      <c r="P244">
        <v>725</v>
      </c>
    </row>
    <row r="245" spans="15:16" x14ac:dyDescent="0.4">
      <c r="O245" t="s">
        <v>664</v>
      </c>
      <c r="P245">
        <v>726</v>
      </c>
    </row>
    <row r="246" spans="15:16" x14ac:dyDescent="0.4">
      <c r="O246" t="s">
        <v>665</v>
      </c>
      <c r="P246">
        <v>727</v>
      </c>
    </row>
    <row r="247" spans="15:16" x14ac:dyDescent="0.4">
      <c r="O247" t="s">
        <v>666</v>
      </c>
      <c r="P247">
        <v>730</v>
      </c>
    </row>
    <row r="248" spans="15:16" x14ac:dyDescent="0.4">
      <c r="O248" t="s">
        <v>667</v>
      </c>
      <c r="P248">
        <v>731</v>
      </c>
    </row>
    <row r="249" spans="15:16" x14ac:dyDescent="0.4">
      <c r="O249" t="s">
        <v>668</v>
      </c>
      <c r="P249">
        <v>732</v>
      </c>
    </row>
    <row r="250" spans="15:16" x14ac:dyDescent="0.4">
      <c r="O250" t="s">
        <v>669</v>
      </c>
      <c r="P250">
        <v>733</v>
      </c>
    </row>
    <row r="251" spans="15:16" x14ac:dyDescent="0.4">
      <c r="O251" t="s">
        <v>670</v>
      </c>
      <c r="P251">
        <v>734</v>
      </c>
    </row>
    <row r="252" spans="15:16" x14ac:dyDescent="0.4">
      <c r="O252" t="s">
        <v>671</v>
      </c>
      <c r="P252">
        <v>735</v>
      </c>
    </row>
    <row r="253" spans="15:16" x14ac:dyDescent="0.4">
      <c r="O253" t="s">
        <v>672</v>
      </c>
      <c r="P253">
        <v>736</v>
      </c>
    </row>
    <row r="254" spans="15:16" x14ac:dyDescent="0.4">
      <c r="O254" t="s">
        <v>673</v>
      </c>
      <c r="P254">
        <v>737</v>
      </c>
    </row>
    <row r="255" spans="15:16" x14ac:dyDescent="0.4">
      <c r="O255" t="s">
        <v>674</v>
      </c>
      <c r="P255">
        <v>741</v>
      </c>
    </row>
    <row r="256" spans="15:16" x14ac:dyDescent="0.4">
      <c r="O256" t="s">
        <v>675</v>
      </c>
      <c r="P256">
        <v>742</v>
      </c>
    </row>
    <row r="257" spans="15:16" x14ac:dyDescent="0.4">
      <c r="O257" t="s">
        <v>676</v>
      </c>
      <c r="P257">
        <v>743</v>
      </c>
    </row>
    <row r="258" spans="15:16" x14ac:dyDescent="0.4">
      <c r="O258" t="s">
        <v>677</v>
      </c>
      <c r="P258">
        <v>744</v>
      </c>
    </row>
    <row r="259" spans="15:16" x14ac:dyDescent="0.4">
      <c r="O259" t="s">
        <v>678</v>
      </c>
      <c r="P259">
        <v>745</v>
      </c>
    </row>
    <row r="260" spans="15:16" x14ac:dyDescent="0.4">
      <c r="O260" t="s">
        <v>679</v>
      </c>
      <c r="P260">
        <v>800</v>
      </c>
    </row>
    <row r="261" spans="15:16" x14ac:dyDescent="0.4">
      <c r="O261" t="s">
        <v>680</v>
      </c>
      <c r="P261">
        <v>801</v>
      </c>
    </row>
    <row r="262" spans="15:16" x14ac:dyDescent="0.4">
      <c r="O262" t="s">
        <v>681</v>
      </c>
      <c r="P262">
        <v>802</v>
      </c>
    </row>
    <row r="263" spans="15:16" x14ac:dyDescent="0.4">
      <c r="O263" t="s">
        <v>682</v>
      </c>
      <c r="P263">
        <v>803</v>
      </c>
    </row>
    <row r="264" spans="15:16" x14ac:dyDescent="0.4">
      <c r="O264" t="s">
        <v>683</v>
      </c>
      <c r="P264">
        <v>804</v>
      </c>
    </row>
    <row r="265" spans="15:16" x14ac:dyDescent="0.4">
      <c r="O265" t="s">
        <v>684</v>
      </c>
      <c r="P265">
        <v>805</v>
      </c>
    </row>
    <row r="266" spans="15:16" x14ac:dyDescent="0.4">
      <c r="O266" t="s">
        <v>685</v>
      </c>
      <c r="P266">
        <v>806</v>
      </c>
    </row>
    <row r="267" spans="15:16" x14ac:dyDescent="0.4">
      <c r="O267" t="s">
        <v>686</v>
      </c>
      <c r="P267">
        <v>807</v>
      </c>
    </row>
    <row r="268" spans="15:16" x14ac:dyDescent="0.4">
      <c r="O268" t="s">
        <v>687</v>
      </c>
      <c r="P268">
        <v>811</v>
      </c>
    </row>
    <row r="269" spans="15:16" x14ac:dyDescent="0.4">
      <c r="O269" t="s">
        <v>688</v>
      </c>
      <c r="P269">
        <v>812</v>
      </c>
    </row>
    <row r="270" spans="15:16" x14ac:dyDescent="0.4">
      <c r="O270" t="s">
        <v>689</v>
      </c>
      <c r="P270">
        <v>813</v>
      </c>
    </row>
    <row r="271" spans="15:16" x14ac:dyDescent="0.4">
      <c r="O271" t="s">
        <v>690</v>
      </c>
      <c r="P271">
        <v>814</v>
      </c>
    </row>
    <row r="272" spans="15:16" x14ac:dyDescent="0.4">
      <c r="O272" t="s">
        <v>691</v>
      </c>
      <c r="P272">
        <v>815</v>
      </c>
    </row>
    <row r="273" spans="15:16" x14ac:dyDescent="0.4">
      <c r="O273" t="s">
        <v>692</v>
      </c>
      <c r="P273">
        <v>817</v>
      </c>
    </row>
    <row r="274" spans="15:16" x14ac:dyDescent="0.4">
      <c r="O274" t="s">
        <v>693</v>
      </c>
      <c r="P274">
        <v>819</v>
      </c>
    </row>
    <row r="275" spans="15:16" x14ac:dyDescent="0.4">
      <c r="O275" t="s">
        <v>694</v>
      </c>
      <c r="P275">
        <v>817</v>
      </c>
    </row>
    <row r="276" spans="15:16" x14ac:dyDescent="0.4">
      <c r="O276" t="s">
        <v>695</v>
      </c>
      <c r="P276">
        <v>819</v>
      </c>
    </row>
    <row r="277" spans="15:16" x14ac:dyDescent="0.4">
      <c r="O277" t="s">
        <v>696</v>
      </c>
      <c r="P277">
        <v>820</v>
      </c>
    </row>
    <row r="278" spans="15:16" x14ac:dyDescent="0.4">
      <c r="O278" t="s">
        <v>697</v>
      </c>
      <c r="P278">
        <v>821</v>
      </c>
    </row>
    <row r="279" spans="15:16" x14ac:dyDescent="0.4">
      <c r="O279" t="s">
        <v>698</v>
      </c>
      <c r="P279">
        <v>822</v>
      </c>
    </row>
    <row r="280" spans="15:16" x14ac:dyDescent="0.4">
      <c r="O280" t="s">
        <v>699</v>
      </c>
      <c r="P280">
        <v>823</v>
      </c>
    </row>
    <row r="281" spans="15:16" x14ac:dyDescent="0.4">
      <c r="O281" t="s">
        <v>700</v>
      </c>
      <c r="P281">
        <v>824</v>
      </c>
    </row>
    <row r="282" spans="15:16" x14ac:dyDescent="0.4">
      <c r="O282" t="s">
        <v>701</v>
      </c>
      <c r="P282">
        <v>825</v>
      </c>
    </row>
    <row r="283" spans="15:16" x14ac:dyDescent="0.4">
      <c r="O283" t="s">
        <v>702</v>
      </c>
      <c r="P283">
        <v>826</v>
      </c>
    </row>
    <row r="284" spans="15:16" x14ac:dyDescent="0.4">
      <c r="O284" t="s">
        <v>703</v>
      </c>
      <c r="P284">
        <v>827</v>
      </c>
    </row>
    <row r="285" spans="15:16" x14ac:dyDescent="0.4">
      <c r="O285" t="s">
        <v>704</v>
      </c>
      <c r="P285">
        <v>828</v>
      </c>
    </row>
    <row r="286" spans="15:16" x14ac:dyDescent="0.4">
      <c r="O286" t="s">
        <v>705</v>
      </c>
      <c r="P286">
        <v>829</v>
      </c>
    </row>
    <row r="287" spans="15:16" x14ac:dyDescent="0.4">
      <c r="O287" t="s">
        <v>706</v>
      </c>
      <c r="P287">
        <v>830</v>
      </c>
    </row>
    <row r="288" spans="15:16" x14ac:dyDescent="0.4">
      <c r="O288" t="s">
        <v>707</v>
      </c>
      <c r="P288">
        <v>831</v>
      </c>
    </row>
    <row r="289" spans="15:16" x14ac:dyDescent="0.4">
      <c r="O289" t="s">
        <v>708</v>
      </c>
      <c r="P289">
        <v>832</v>
      </c>
    </row>
    <row r="290" spans="15:16" x14ac:dyDescent="0.4">
      <c r="O290" t="s">
        <v>709</v>
      </c>
      <c r="P290">
        <v>833</v>
      </c>
    </row>
    <row r="291" spans="15:16" x14ac:dyDescent="0.4">
      <c r="O291" t="s">
        <v>710</v>
      </c>
      <c r="P291">
        <v>840</v>
      </c>
    </row>
    <row r="292" spans="15:16" x14ac:dyDescent="0.4">
      <c r="O292" t="s">
        <v>711</v>
      </c>
      <c r="P292">
        <v>842</v>
      </c>
    </row>
    <row r="293" spans="15:16" x14ac:dyDescent="0.4">
      <c r="O293" t="s">
        <v>712</v>
      </c>
      <c r="P293">
        <v>843</v>
      </c>
    </row>
    <row r="294" spans="15:16" x14ac:dyDescent="0.4">
      <c r="O294" t="s">
        <v>713</v>
      </c>
      <c r="P294">
        <v>844</v>
      </c>
    </row>
    <row r="295" spans="15:16" x14ac:dyDescent="0.4">
      <c r="O295" t="s">
        <v>714</v>
      </c>
      <c r="P295">
        <v>845</v>
      </c>
    </row>
    <row r="296" spans="15:16" x14ac:dyDescent="0.4">
      <c r="O296" t="s">
        <v>715</v>
      </c>
      <c r="P296">
        <v>846</v>
      </c>
    </row>
    <row r="297" spans="15:16" x14ac:dyDescent="0.4">
      <c r="O297" t="s">
        <v>716</v>
      </c>
      <c r="P297">
        <v>847</v>
      </c>
    </row>
    <row r="298" spans="15:16" x14ac:dyDescent="0.4">
      <c r="O298" t="s">
        <v>717</v>
      </c>
      <c r="P298">
        <v>848</v>
      </c>
    </row>
    <row r="299" spans="15:16" x14ac:dyDescent="0.4">
      <c r="O299" t="s">
        <v>718</v>
      </c>
      <c r="P299">
        <v>849</v>
      </c>
    </row>
    <row r="300" spans="15:16" x14ac:dyDescent="0.4">
      <c r="O300" t="s">
        <v>719</v>
      </c>
      <c r="P300">
        <v>851</v>
      </c>
    </row>
    <row r="301" spans="15:16" x14ac:dyDescent="0.4">
      <c r="O301" t="s">
        <v>720</v>
      </c>
      <c r="P301">
        <v>852</v>
      </c>
    </row>
    <row r="302" spans="15:16" x14ac:dyDescent="0.4">
      <c r="O302" t="s">
        <v>721</v>
      </c>
      <c r="P302">
        <v>880</v>
      </c>
    </row>
    <row r="303" spans="15:16" x14ac:dyDescent="0.4">
      <c r="O303" t="s">
        <v>722</v>
      </c>
      <c r="P303">
        <v>881</v>
      </c>
    </row>
    <row r="304" spans="15:16" x14ac:dyDescent="0.4">
      <c r="O304" t="s">
        <v>723</v>
      </c>
      <c r="P304">
        <v>882</v>
      </c>
    </row>
    <row r="305" spans="15:16" x14ac:dyDescent="0.4">
      <c r="O305" t="s">
        <v>724</v>
      </c>
      <c r="P305">
        <v>883</v>
      </c>
    </row>
    <row r="306" spans="15:16" x14ac:dyDescent="0.4">
      <c r="O306" t="s">
        <v>725</v>
      </c>
      <c r="P306">
        <v>884</v>
      </c>
    </row>
    <row r="307" spans="15:16" x14ac:dyDescent="0.4">
      <c r="O307" t="s">
        <v>726</v>
      </c>
      <c r="P307">
        <v>885</v>
      </c>
    </row>
    <row r="308" spans="15:16" x14ac:dyDescent="0.4">
      <c r="O308" t="s">
        <v>727</v>
      </c>
      <c r="P308">
        <v>890</v>
      </c>
    </row>
    <row r="309" spans="15:16" x14ac:dyDescent="0.4">
      <c r="O309" t="s">
        <v>728</v>
      </c>
      <c r="P309">
        <v>891</v>
      </c>
    </row>
    <row r="310" spans="15:16" x14ac:dyDescent="0.4">
      <c r="O310" t="s">
        <v>729</v>
      </c>
      <c r="P310">
        <v>892</v>
      </c>
    </row>
    <row r="311" spans="15:16" x14ac:dyDescent="0.4">
      <c r="O311" t="s">
        <v>730</v>
      </c>
      <c r="P311">
        <v>893</v>
      </c>
    </row>
    <row r="312" spans="15:16" x14ac:dyDescent="0.4">
      <c r="O312" t="s">
        <v>731</v>
      </c>
      <c r="P312">
        <v>894</v>
      </c>
    </row>
    <row r="313" spans="15:16" x14ac:dyDescent="0.4">
      <c r="O313" t="s">
        <v>732</v>
      </c>
      <c r="P313">
        <v>896</v>
      </c>
    </row>
    <row r="314" spans="15:16" x14ac:dyDescent="0.4">
      <c r="O314" t="s">
        <v>733</v>
      </c>
      <c r="P314">
        <v>900</v>
      </c>
    </row>
    <row r="315" spans="15:16" x14ac:dyDescent="0.4">
      <c r="O315" t="s">
        <v>734</v>
      </c>
      <c r="P315">
        <v>901</v>
      </c>
    </row>
    <row r="316" spans="15:16" x14ac:dyDescent="0.4">
      <c r="O316" t="s">
        <v>735</v>
      </c>
      <c r="P316">
        <v>902</v>
      </c>
    </row>
    <row r="317" spans="15:16" x14ac:dyDescent="0.4">
      <c r="O317" t="s">
        <v>736</v>
      </c>
      <c r="P317">
        <v>903</v>
      </c>
    </row>
    <row r="318" spans="15:16" x14ac:dyDescent="0.4">
      <c r="O318" t="s">
        <v>737</v>
      </c>
      <c r="P318">
        <v>904</v>
      </c>
    </row>
    <row r="319" spans="15:16" x14ac:dyDescent="0.4">
      <c r="O319" t="s">
        <v>738</v>
      </c>
      <c r="P319">
        <v>905</v>
      </c>
    </row>
    <row r="320" spans="15:16" x14ac:dyDescent="0.4">
      <c r="O320" t="s">
        <v>739</v>
      </c>
      <c r="P320">
        <v>906</v>
      </c>
    </row>
    <row r="321" spans="15:16" x14ac:dyDescent="0.4">
      <c r="O321" t="s">
        <v>740</v>
      </c>
      <c r="P321">
        <v>907</v>
      </c>
    </row>
    <row r="322" spans="15:16" x14ac:dyDescent="0.4">
      <c r="O322" t="s">
        <v>741</v>
      </c>
      <c r="P322">
        <v>908</v>
      </c>
    </row>
    <row r="323" spans="15:16" x14ac:dyDescent="0.4">
      <c r="O323" t="s">
        <v>742</v>
      </c>
      <c r="P323">
        <v>909</v>
      </c>
    </row>
    <row r="324" spans="15:16" x14ac:dyDescent="0.4">
      <c r="O324" t="s">
        <v>743</v>
      </c>
      <c r="P324">
        <v>911</v>
      </c>
    </row>
    <row r="325" spans="15:16" x14ac:dyDescent="0.4">
      <c r="O325" t="s">
        <v>744</v>
      </c>
      <c r="P325">
        <v>912</v>
      </c>
    </row>
    <row r="326" spans="15:16" x14ac:dyDescent="0.4">
      <c r="O326" t="s">
        <v>745</v>
      </c>
      <c r="P326">
        <v>913</v>
      </c>
    </row>
    <row r="327" spans="15:16" x14ac:dyDescent="0.4">
      <c r="O327" t="s">
        <v>746</v>
      </c>
      <c r="P327">
        <v>920</v>
      </c>
    </row>
    <row r="328" spans="15:16" x14ac:dyDescent="0.4">
      <c r="O328" t="s">
        <v>747</v>
      </c>
      <c r="P328">
        <v>921</v>
      </c>
    </row>
    <row r="329" spans="15:16" x14ac:dyDescent="0.4">
      <c r="O329" t="s">
        <v>748</v>
      </c>
      <c r="P329">
        <v>922</v>
      </c>
    </row>
    <row r="330" spans="15:16" x14ac:dyDescent="0.4">
      <c r="O330" t="s">
        <v>749</v>
      </c>
      <c r="P330">
        <v>923</v>
      </c>
    </row>
    <row r="331" spans="15:16" x14ac:dyDescent="0.4">
      <c r="O331" t="s">
        <v>750</v>
      </c>
      <c r="P331">
        <v>924</v>
      </c>
    </row>
    <row r="332" spans="15:16" x14ac:dyDescent="0.4">
      <c r="O332" t="s">
        <v>751</v>
      </c>
      <c r="P332">
        <v>925</v>
      </c>
    </row>
    <row r="333" spans="15:16" x14ac:dyDescent="0.4">
      <c r="O333" t="s">
        <v>752</v>
      </c>
      <c r="P333">
        <v>926</v>
      </c>
    </row>
    <row r="334" spans="15:16" x14ac:dyDescent="0.4">
      <c r="O334" t="s">
        <v>753</v>
      </c>
      <c r="P334">
        <v>927</v>
      </c>
    </row>
    <row r="335" spans="15:16" x14ac:dyDescent="0.4">
      <c r="O335" t="s">
        <v>754</v>
      </c>
      <c r="P335">
        <v>928</v>
      </c>
    </row>
    <row r="336" spans="15:16" x14ac:dyDescent="0.4">
      <c r="O336" t="s">
        <v>755</v>
      </c>
      <c r="P336">
        <v>929</v>
      </c>
    </row>
    <row r="337" spans="15:16" x14ac:dyDescent="0.4">
      <c r="O337" t="s">
        <v>756</v>
      </c>
      <c r="P337">
        <v>931</v>
      </c>
    </row>
    <row r="338" spans="15:16" x14ac:dyDescent="0.4">
      <c r="O338" t="s">
        <v>757</v>
      </c>
      <c r="P338">
        <v>932</v>
      </c>
    </row>
    <row r="339" spans="15:16" x14ac:dyDescent="0.4">
      <c r="O339" t="s">
        <v>758</v>
      </c>
      <c r="P339">
        <v>940</v>
      </c>
    </row>
    <row r="340" spans="15:16" x14ac:dyDescent="0.4">
      <c r="O340" t="s">
        <v>759</v>
      </c>
      <c r="P340">
        <v>941</v>
      </c>
    </row>
    <row r="341" spans="15:16" x14ac:dyDescent="0.4">
      <c r="O341" t="s">
        <v>760</v>
      </c>
      <c r="P341">
        <v>942</v>
      </c>
    </row>
    <row r="342" spans="15:16" x14ac:dyDescent="0.4">
      <c r="O342" t="s">
        <v>761</v>
      </c>
      <c r="P342">
        <v>943</v>
      </c>
    </row>
    <row r="343" spans="15:16" x14ac:dyDescent="0.4">
      <c r="O343" t="s">
        <v>762</v>
      </c>
      <c r="P343">
        <v>944</v>
      </c>
    </row>
    <row r="344" spans="15:16" x14ac:dyDescent="0.4">
      <c r="O344" t="s">
        <v>763</v>
      </c>
      <c r="P344">
        <v>945</v>
      </c>
    </row>
    <row r="345" spans="15:16" x14ac:dyDescent="0.4">
      <c r="O345" t="s">
        <v>764</v>
      </c>
      <c r="P345">
        <v>946</v>
      </c>
    </row>
    <row r="346" spans="15:16" x14ac:dyDescent="0.4">
      <c r="O346" t="s">
        <v>765</v>
      </c>
      <c r="P346">
        <v>947</v>
      </c>
    </row>
    <row r="347" spans="15:16" x14ac:dyDescent="0.4">
      <c r="O347" t="s">
        <v>766</v>
      </c>
      <c r="P347">
        <v>950</v>
      </c>
    </row>
    <row r="348" spans="15:16" x14ac:dyDescent="0.4">
      <c r="O348" t="s">
        <v>767</v>
      </c>
      <c r="P348">
        <v>951</v>
      </c>
    </row>
    <row r="349" spans="15:16" x14ac:dyDescent="0.4">
      <c r="O349" t="s">
        <v>768</v>
      </c>
      <c r="P349">
        <v>952</v>
      </c>
    </row>
    <row r="350" spans="15:16" x14ac:dyDescent="0.4">
      <c r="O350" t="s">
        <v>769</v>
      </c>
      <c r="P350">
        <v>953</v>
      </c>
    </row>
    <row r="351" spans="15:16" x14ac:dyDescent="0.4">
      <c r="O351" t="s">
        <v>770</v>
      </c>
      <c r="P351">
        <v>954</v>
      </c>
    </row>
    <row r="352" spans="15:16" x14ac:dyDescent="0.4">
      <c r="O352" t="s">
        <v>771</v>
      </c>
      <c r="P352">
        <v>955</v>
      </c>
    </row>
    <row r="353" spans="15:16" x14ac:dyDescent="0.4">
      <c r="O353" t="s">
        <v>772</v>
      </c>
      <c r="P353">
        <v>956</v>
      </c>
    </row>
    <row r="354" spans="15:16" x14ac:dyDescent="0.4">
      <c r="O354" t="s">
        <v>773</v>
      </c>
      <c r="P354">
        <v>957</v>
      </c>
    </row>
    <row r="355" spans="15:16" x14ac:dyDescent="0.4">
      <c r="O355" t="s">
        <v>774</v>
      </c>
      <c r="P355">
        <v>958</v>
      </c>
    </row>
    <row r="356" spans="15:16" x14ac:dyDescent="0.4">
      <c r="O356" t="s">
        <v>775</v>
      </c>
      <c r="P356">
        <v>959</v>
      </c>
    </row>
    <row r="357" spans="15:16" x14ac:dyDescent="0.4">
      <c r="O357" t="s">
        <v>776</v>
      </c>
      <c r="P357">
        <v>961</v>
      </c>
    </row>
    <row r="358" spans="15:16" x14ac:dyDescent="0.4">
      <c r="O358" t="s">
        <v>777</v>
      </c>
      <c r="P358">
        <v>962</v>
      </c>
    </row>
    <row r="359" spans="15:16" x14ac:dyDescent="0.4">
      <c r="O359" t="s">
        <v>778</v>
      </c>
      <c r="P359">
        <v>963</v>
      </c>
    </row>
    <row r="360" spans="15:16" x14ac:dyDescent="0.4">
      <c r="O360" t="s">
        <v>779</v>
      </c>
      <c r="P360">
        <v>964</v>
      </c>
    </row>
    <row r="361" spans="15:16" x14ac:dyDescent="0.4">
      <c r="O361" t="s">
        <v>780</v>
      </c>
      <c r="P361">
        <v>965</v>
      </c>
    </row>
    <row r="362" spans="15:16" x14ac:dyDescent="0.4">
      <c r="O362" t="s">
        <v>781</v>
      </c>
      <c r="P362">
        <v>966</v>
      </c>
    </row>
    <row r="363" spans="15:16" x14ac:dyDescent="0.4">
      <c r="O363" t="s">
        <v>782</v>
      </c>
      <c r="P363">
        <v>970</v>
      </c>
    </row>
    <row r="364" spans="15:16" x14ac:dyDescent="0.4">
      <c r="O364" t="s">
        <v>783</v>
      </c>
      <c r="P364">
        <v>971</v>
      </c>
    </row>
    <row r="365" spans="15:16" x14ac:dyDescent="0.4">
      <c r="O365" t="s">
        <v>784</v>
      </c>
      <c r="P365">
        <v>972</v>
      </c>
    </row>
    <row r="366" spans="15:16" x14ac:dyDescent="0.4">
      <c r="O366" t="s">
        <v>785</v>
      </c>
      <c r="P366">
        <v>973</v>
      </c>
    </row>
    <row r="367" spans="15:16" x14ac:dyDescent="0.4">
      <c r="O367" t="s">
        <v>786</v>
      </c>
      <c r="P367">
        <v>974</v>
      </c>
    </row>
    <row r="368" spans="15:16" x14ac:dyDescent="0.4">
      <c r="O368" t="s">
        <v>787</v>
      </c>
      <c r="P368">
        <v>975</v>
      </c>
    </row>
    <row r="369" spans="15:16" x14ac:dyDescent="0.4">
      <c r="O369" t="s">
        <v>788</v>
      </c>
      <c r="P369">
        <v>976</v>
      </c>
    </row>
    <row r="370" spans="15:16" x14ac:dyDescent="0.4">
      <c r="O370" t="s">
        <v>789</v>
      </c>
      <c r="P370">
        <v>977</v>
      </c>
    </row>
    <row r="371" spans="15:16" x14ac:dyDescent="0.4">
      <c r="O371" t="s">
        <v>790</v>
      </c>
      <c r="P371">
        <v>978</v>
      </c>
    </row>
    <row r="372" spans="15:16" x14ac:dyDescent="0.4">
      <c r="O372" t="s">
        <v>791</v>
      </c>
      <c r="P372">
        <v>979</v>
      </c>
    </row>
    <row r="373" spans="15:16" x14ac:dyDescent="0.4">
      <c r="O373" t="s">
        <v>792</v>
      </c>
      <c r="P373">
        <v>981</v>
      </c>
    </row>
    <row r="374" spans="15:16" x14ac:dyDescent="0.4">
      <c r="O374" t="s">
        <v>793</v>
      </c>
      <c r="P374">
        <v>982</v>
      </c>
    </row>
    <row r="375" spans="15:16" x14ac:dyDescent="0.4">
      <c r="O375" t="s">
        <v>794</v>
      </c>
      <c r="P375">
        <v>983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25</vt:i4>
      </vt:variant>
    </vt:vector>
  </HeadingPairs>
  <TitlesOfParts>
    <vt:vector size="30" baseType="lpstr">
      <vt:lpstr>託運清單</vt:lpstr>
      <vt:lpstr>託運清單(整段地址)</vt:lpstr>
      <vt:lpstr>函件資費說明</vt:lpstr>
      <vt:lpstr>version</vt:lpstr>
      <vt:lpstr>工作表2</vt:lpstr>
      <vt:lpstr>宜蘭縣</vt:lpstr>
      <vt:lpstr>花蓮縣</vt:lpstr>
      <vt:lpstr>金門縣</vt:lpstr>
      <vt:lpstr>南投縣</vt:lpstr>
      <vt:lpstr>南海島</vt:lpstr>
      <vt:lpstr>屏東縣</vt:lpstr>
      <vt:lpstr>是否</vt:lpstr>
      <vt:lpstr>苗栗縣</vt:lpstr>
      <vt:lpstr>桃園市</vt:lpstr>
      <vt:lpstr>高雄市</vt:lpstr>
      <vt:lpstr>基隆市</vt:lpstr>
      <vt:lpstr>連江縣</vt:lpstr>
      <vt:lpstr>釣魚臺</vt:lpstr>
      <vt:lpstr>雲林縣</vt:lpstr>
      <vt:lpstr>新北市</vt:lpstr>
      <vt:lpstr>新竹市</vt:lpstr>
      <vt:lpstr>新竹縣</vt:lpstr>
      <vt:lpstr>嘉義市</vt:lpstr>
      <vt:lpstr>嘉義縣</vt:lpstr>
      <vt:lpstr>彰化縣</vt:lpstr>
      <vt:lpstr>臺中市</vt:lpstr>
      <vt:lpstr>臺北市</vt:lpstr>
      <vt:lpstr>臺東縣</vt:lpstr>
      <vt:lpstr>臺南市</vt:lpstr>
      <vt:lpstr>澎湖縣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</dc:creator>
  <cp:lastModifiedBy>少維 何</cp:lastModifiedBy>
  <dcterms:created xsi:type="dcterms:W3CDTF">2018-03-16T07:52:11Z</dcterms:created>
  <dcterms:modified xsi:type="dcterms:W3CDTF">2026-04-21T09:07:26Z</dcterms:modified>
</cp:coreProperties>
</file>